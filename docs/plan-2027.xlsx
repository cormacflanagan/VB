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sheetId="1" state="visible" r:id="rId1"/>
    <sheet name="Calendar" sheetId="2" state="visible" r:id="rId2"/>
    <sheet name="Weekend pairs" sheetId="3" state="visible" r:id="rId3"/>
    <sheet name="Pro-am circuit" sheetId="4" state="visible" r:id="rId4"/>
    <sheet name="Beach Pro Tour"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ddd d mmm yyyy"/>
    <numFmt numFmtId="166" formatCode="0.0"/>
  </numFmts>
  <fonts count="12">
    <font>
      <name val="Calibri"/>
      <family val="2"/>
      <color theme="1"/>
      <sz val="11"/>
      <scheme val="minor"/>
    </font>
    <font>
      <name val="Arial"/>
      <b val="1"/>
      <color rgb="00FFFFFF"/>
      <sz val="10"/>
    </font>
    <font>
      <name val="Arial"/>
      <color rgb="001A1A1A"/>
      <sz val="10"/>
    </font>
    <font>
      <name val="Arial"/>
      <color rgb="000B6CB5"/>
      <sz val="9"/>
      <u val="single"/>
    </font>
    <font>
      <name val="Arial"/>
      <i val="1"/>
      <color rgb="006B6964"/>
      <sz val="9"/>
    </font>
    <font>
      <name val="Arial"/>
      <b val="1"/>
      <color rgb="001A1A1A"/>
      <sz val="15"/>
    </font>
    <font>
      <name val="Arial"/>
      <i val="1"/>
      <color rgb="006B6964"/>
      <sz val="10"/>
    </font>
    <font>
      <name val="Arial"/>
      <b val="1"/>
      <color rgb="001A1A1A"/>
      <sz val="10"/>
    </font>
    <font>
      <name val="Arial"/>
      <color rgb="000000FF"/>
      <sz val="10"/>
    </font>
    <font>
      <name val="Arial"/>
      <color rgb="004A4844"/>
      <sz val="9"/>
    </font>
    <font>
      <name val="Arial"/>
      <b val="1"/>
      <color rgb="000F6B5C"/>
      <sz val="11"/>
    </font>
    <font>
      <name val="Arial"/>
      <b val="1"/>
      <sz val="10"/>
    </font>
  </fonts>
  <fills count="3">
    <fill>
      <patternFill/>
    </fill>
    <fill>
      <patternFill patternType="gray125"/>
    </fill>
    <fill>
      <patternFill patternType="solid">
        <fgColor rgb="000F6B5C"/>
      </patternFill>
    </fill>
  </fills>
  <borders count="2">
    <border>
      <left/>
      <right/>
      <top/>
      <bottom/>
      <diagonal/>
    </border>
    <border>
      <bottom style="thin">
        <color rgb="00D8D6D1"/>
      </bottom>
    </border>
  </borders>
  <cellStyleXfs count="1">
    <xf numFmtId="0" fontId="0" fillId="0" borderId="0"/>
  </cellStyleXfs>
  <cellXfs count="21">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2" fontId="8" fillId="0" borderId="0" applyAlignment="1" pivotButton="0" quotePrefix="0" xfId="0">
      <alignment horizontal="right"/>
    </xf>
    <xf numFmtId="0" fontId="9" fillId="0" borderId="0" applyAlignment="1" pivotButton="0" quotePrefix="0" xfId="0">
      <alignment vertical="top" wrapText="1"/>
    </xf>
    <xf numFmtId="0" fontId="2" fillId="0" borderId="0" applyAlignment="1" pivotButton="0" quotePrefix="0" xfId="0">
      <alignment horizontal="right"/>
    </xf>
    <xf numFmtId="0" fontId="10" fillId="0" borderId="0" pivotButton="0" quotePrefix="0" xfId="0"/>
    <xf numFmtId="0" fontId="11" fillId="0" borderId="0" pivotButton="0" quotePrefix="0" xfId="0"/>
    <xf numFmtId="0" fontId="4" fillId="0" borderId="0" applyAlignment="1" pivotButton="0" quotePrefix="0" xfId="0">
      <alignment vertical="top" wrapText="1"/>
    </xf>
    <xf numFmtId="0" fontId="1" fillId="2" borderId="1" applyAlignment="1" pivotButton="0" quotePrefix="0" xfId="0">
      <alignment vertical="center" wrapText="1"/>
    </xf>
    <xf numFmtId="165" fontId="2" fillId="0"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horizontal="right" vertical="center"/>
    </xf>
    <xf numFmtId="2" fontId="2" fillId="0" borderId="1" applyAlignment="1" pivotButton="0" quotePrefix="0" xfId="0">
      <alignment horizontal="right" vertical="center"/>
    </xf>
    <xf numFmtId="166" fontId="2" fillId="0" borderId="1" applyAlignment="1" pivotButton="0" quotePrefix="0" xfId="0">
      <alignment horizontal="right" vertical="center"/>
    </xf>
    <xf numFmtId="9" fontId="2" fillId="0" borderId="1" applyAlignment="1" pivotButton="0" quotePrefix="0" xfId="0">
      <alignment horizontal="right" vertical="center"/>
    </xf>
    <xf numFmtId="0" fontId="3" fillId="0" borderId="1" applyAlignment="1" pivotButton="0" quotePrefix="0" xfId="0">
      <alignment vertical="center"/>
    </xf>
    <xf numFmtId="166" fontId="2" fillId="0" borderId="1" applyAlignment="1" pivotButton="0" quotePrefix="0" xfId="0">
      <alignment vertical="center"/>
    </xf>
    <xf numFmtId="2" fontId="2" fillId="0" borderId="1" applyAlignment="1" pivotButton="0" quotePrefix="0" xfId="0">
      <alignment vertical="center"/>
    </xf>
    <xf numFmtId="9"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SeasonCalendar" displayName="SeasonCalendar" ref="A1:P79" headerRowCount="1">
  <autoFilter ref="A1:P79"/>
  <tableColumns count="16">
    <tableColumn id="1" name="Date"/>
    <tableColumn id="2" name="Date is"/>
    <tableColumn id="3" name="Days"/>
    <tableColumn id="4" name="Event"/>
    <tableColumn id="5" name="Venue"/>
    <tableColumn id="6" name="State"/>
    <tableColumn id="7" name="Draw"/>
    <tableColumn id="8" name="Kind"/>
    <tableColumn id="9" name="Her band"/>
    <tableColumn id="10" name="Field median"/>
    <tableColumn id="11" name="Above her"/>
    <tableColumn id="12" name="Sets"/>
    <tableColumn id="13" name="Contested"/>
    <tableColumn id="14" name="Contested share"/>
    <tableColumn id="15" name="Weekend pair"/>
    <tableColumn id="16" name="Link"/>
  </tableColumns>
  <tableStyleInfo name="TableStyleLight1" showRowStripes="1"/>
</table>
</file>

<file path=xl/tables/table2.xml><?xml version="1.0" encoding="utf-8"?>
<table xmlns="http://schemas.openxmlformats.org/spreadsheetml/2006/main" id="2" name="WeekendPairs" displayName="WeekendPairs" ref="A1:L8" headerRowCount="1">
  <autoFilter ref="A1:L8"/>
  <tableColumns count="12">
    <tableColumn id="1" name="Saturday"/>
    <tableColumn id="2" name="Saturday event"/>
    <tableColumn id="3" name="Saturday venue"/>
    <tableColumn id="4" name="Sunday"/>
    <tableColumn id="5" name="Sunday event"/>
    <tableColumn id="6" name="Sunday venue"/>
    <tableColumn id="7" name="Miles"/>
    <tableColumn id="8" name="Minutes"/>
    <tableColumn id="9" name="Sat contested"/>
    <tableColumn id="10" name="Sun contested"/>
    <tableColumn id="11" name="Weekend total"/>
    <tableColumn id="12" name="Dates"/>
  </tableColumns>
  <tableStyleInfo name="TableStyleLight1" showRowStripes="1"/>
</table>
</file>

<file path=xl/tables/table3.xml><?xml version="1.0" encoding="utf-8"?>
<table xmlns="http://schemas.openxmlformats.org/spreadsheetml/2006/main" id="3" name="ProAm" displayName="ProAm" ref="A1:M19" headerRowCount="1">
  <autoFilter ref="A1:M19"/>
  <tableColumns count="13">
    <tableColumn id="1" name="Date"/>
    <tableColumn id="2" name="Series"/>
    <tableColumn id="3" name="Event"/>
    <tableColumn id="4" name="Venue"/>
    <tableColumn id="5" name="Days"/>
    <tableColumn id="6" name="Teams"/>
    <tableColumn id="7" name="Field median"/>
    <tableColumn id="8" name="Above her"/>
    <tableColumn id="9" name="Sets"/>
    <tableColumn id="10" name="Contested"/>
    <tableColumn id="11" name="Contested share"/>
    <tableColumn id="12" name="Rated pairs"/>
    <tableColumn id="13" name="Link"/>
  </tableColumns>
  <tableStyleInfo name="TableStyleLight1" showRowStripes="1"/>
</table>
</file>

<file path=xl/tables/table4.xml><?xml version="1.0" encoding="utf-8"?>
<table xmlns="http://schemas.openxmlformats.org/spreadsheetml/2006/main" id="4" name="BeachProTour" displayName="BeachProTour" ref="A1:G7" headerRowCount="1">
  <autoFilter ref="A1:G7"/>
  <tableColumns count="7">
    <tableColumn id="1" name="Tier"/>
    <tableColumn id="2" name="Where"/>
    <tableColumn id="3" name="US entrants rated"/>
    <tableColumn id="4" name="Field median"/>
    <tableColumn id="5" name="Weakest"/>
    <tableColumn id="6" name="Below her"/>
    <tableColumn id="7" name="Her match odd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15" customWidth="1" min="2" max="2"/>
    <col width="92" customWidth="1" min="3" max="3"/>
  </cols>
  <sheetData>
    <row r="1">
      <c r="A1" s="1" t="inlineStr">
        <is>
          <t>Haisley · competition options, November 2026 to December 2027</t>
        </is>
      </c>
    </row>
    <row r="2">
      <c r="A2" s="2" t="inlineStr">
        <is>
          <t>Built 20 October 2026 from the Volleyball Life crawl and CBVA’s tournament database.</t>
        </is>
      </c>
    </row>
    <row r="3"/>
    <row r="4" ht="26" customHeight="1">
      <c r="A4" s="3" t="inlineStr">
        <is>
          <t>Her TruVolley</t>
        </is>
      </c>
      <c r="B4" s="4" t="n">
        <v>9.678000000000001</v>
      </c>
      <c r="C4" s="5" t="inlineStr">
        <is>
          <t>Her own current rating.</t>
        </is>
      </c>
    </row>
    <row r="5" ht="26" customHeight="1">
      <c r="A5" s="3" t="inlineStr">
        <is>
          <t>Her pair rating</t>
        </is>
      </c>
      <c r="B5" s="4" t="n">
        <v>9.5</v>
      </c>
      <c r="C5" s="5" t="inlineStr">
        <is>
          <t>What a team of hers rates: she enters with partners rated 9.1-9.5, so the teams that outrank her team are the ones averaging above this. Edit this cell and the match-odds column on Beach Pro Tour moves with it.</t>
        </is>
      </c>
    </row>
    <row r="6" ht="26" customHeight="1">
      <c r="A6" s="3" t="inlineStr">
        <is>
          <t>Peer band</t>
        </is>
      </c>
      <c r="B6" s="6" t="inlineStr">
        <is>
          <t>9.20–10.10</t>
        </is>
      </c>
      <c r="C6" s="5" t="inlineStr">
        <is>
          <t>The rating range counted as “a pair rated like hers” when measuring how many sets a draw actually gives.</t>
        </is>
      </c>
    </row>
    <row r="7" ht="26" customHeight="1">
      <c r="A7" s="3" t="inlineStr">
        <is>
          <t>Contested</t>
        </is>
      </c>
      <c r="B7" s="6" t="inlineStr">
        <is>
          <t>within 0.75</t>
        </is>
      </c>
      <c r="C7" s="5" t="inlineStr">
        <is>
          <t>A set is contested when the opposing pair rates within this of her own. Everything else is a formality.</t>
        </is>
      </c>
    </row>
    <row r="8" ht="26" customHeight="1">
      <c r="A8" s="3" t="inlineStr">
        <is>
          <t>Calendar entries</t>
        </is>
      </c>
      <c r="B8" s="6" t="n">
        <v>78</v>
      </c>
      <c r="C8" s="5" t="inlineStr">
        <is>
          <t>Rows on the Calendar sheet.</t>
        </is>
      </c>
    </row>
    <row r="9" ht="26" customHeight="1">
      <c r="A9" s="3" t="inlineStr">
        <is>
          <t>Weekend pairs</t>
        </is>
      </c>
      <c r="B9" s="6" t="n">
        <v>7</v>
      </c>
      <c r="C9" s="5" t="inlineStr">
        <is>
          <t>Weekends holding two one-day draws within reach of one hotel.</t>
        </is>
      </c>
    </row>
    <row r="10" ht="26" customHeight="1">
      <c r="A10" s="3" t="inlineStr">
        <is>
          <t>Pro-am draws listed</t>
        </is>
      </c>
      <c r="B10" s="6" t="n">
        <v>18</v>
      </c>
      <c r="C10" s="5" t="inlineStr">
        <is>
          <t>Highline and AVP Next women's opens in California since 2025.</t>
        </is>
      </c>
    </row>
    <row r="11" ht="26" customHeight="1">
      <c r="A11" s="3" t="inlineStr">
        <is>
          <t>Players rated</t>
        </is>
      </c>
      <c r="B11" s="6" t="n">
        <v>2819</v>
      </c>
      <c r="C11" s="5" t="inlineStr">
        <is>
          <t>TruVolley ratings held for the entrants behind every field number in the book.</t>
        </is>
      </c>
    </row>
    <row r="12"/>
    <row r="13">
      <c r="A13" s="7" t="inlineStr">
        <is>
          <t>What each kind of date is</t>
        </is>
      </c>
    </row>
    <row r="14" ht="24" customHeight="1">
      <c r="A14" s="8" t="inlineStr">
        <is>
          <t>Selection</t>
        </is>
      </c>
      <c r="C14" s="5" t="inlineStr">
        <is>
          <t>A national-team or ISF trial. The only rows that can put her on a team.</t>
        </is>
      </c>
    </row>
    <row r="15" ht="24" customHeight="1">
      <c r="A15" s="8" t="inlineStr">
        <is>
          <t>National junior</t>
        </is>
      </c>
      <c r="C15" s="5" t="inlineStr">
        <is>
          <t>A national junior championship: the deepest fields she is age-eligible for, and the longest days.</t>
        </is>
      </c>
    </row>
    <row r="16" ht="24" customHeight="1">
      <c r="A16" s="8" t="inlineStr">
        <is>
          <t>Junior circuit</t>
        </is>
      </c>
      <c r="C16" s="5" t="inlineStr">
        <is>
          <t>The p1440 / IBVL / BVNE junior circuit. Regular, shallower, useful for reps and ranking points.</t>
        </is>
      </c>
    </row>
    <row r="17" ht="24" customHeight="1">
      <c r="A17" s="8" t="inlineStr">
        <is>
          <t>Women's open</t>
        </is>
      </c>
      <c r="C17" s="5" t="inlineStr">
        <is>
          <t>An adult draw. Harder opponents than most junior dates, but four sets rather than twenty.</t>
        </is>
      </c>
    </row>
    <row r="18" ht="24" customHeight="1">
      <c r="A18" s="8" t="inlineStr">
        <is>
          <t>Pro-am open</t>
        </is>
      </c>
      <c r="C18" s="5" t="inlineStr">
        <is>
          <t>A promoter's adult open with a purse -- Highline or AVP Next. Harder than CBVA and three times the sets.</t>
        </is>
      </c>
    </row>
    <row r="19" ht="24" customHeight="1">
      <c r="A19" s="8" t="inlineStr">
        <is>
          <t>Out of reach</t>
        </is>
      </c>
      <c r="C19" s="5" t="inlineStr">
        <is>
          <t>Professional or qualification-only. A median above 10.3 and two or three sets before the exit.</t>
        </is>
      </c>
    </row>
    <row r="20" ht="24" customHeight="1">
      <c r="A20" s="8" t="inlineStr">
        <is>
          <t>Grass</t>
        </is>
      </c>
      <c r="C20" s="5" t="inlineStr">
        <is>
          <t>Played on grass, which carries its own TruVolley. Nothing that happens there can move her sand rating.</t>
        </is>
      </c>
    </row>
    <row r="21"/>
    <row r="22">
      <c r="A22" s="7" t="inlineStr">
        <is>
          <t>Two age charts, one year apart</t>
        </is>
      </c>
    </row>
    <row r="23" ht="24" customHeight="1">
      <c r="A23" s="8" t="inlineStr">
        <is>
          <t>USA Volleyball</t>
        </is>
      </c>
      <c r="C23" s="5" t="inlineStr">
        <is>
          <t>NTDP rosters and national-team trials. She is U18 in 2027.</t>
        </is>
      </c>
    </row>
    <row r="24" ht="24" customHeight="1">
      <c r="A24" s="8" t="inlineStr">
        <is>
          <t>AVP Juniors, AAU, BVCA</t>
        </is>
      </c>
      <c r="C24" s="5" t="inlineStr">
        <is>
          <t>The junior championships, labelled a year younger. She is 17U in 2027, and the 18U draws are playing up.</t>
        </is>
      </c>
    </row>
    <row r="25" ht="24" customHeight="1">
      <c r="A25" s="8" t="inlineStr">
        <is>
          <t>p1440 Futures Tour</t>
        </is>
      </c>
      <c r="C25" s="5" t="inlineStr">
        <is>
          <t>Runs 16U and 18U only. She ages out of 16U, so 18U is the only option.</t>
        </is>
      </c>
    </row>
    <row r="26"/>
    <row r="27">
      <c r="A27" s="9" t="inlineStr">
        <is>
          <t>The page this book was built from: https://cormacflanagan.github.io/VB/docs/plan-2027.html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6" customWidth="1" min="3" max="3"/>
    <col width="44" customWidth="1" min="4" max="4"/>
    <col width="34" customWidth="1" min="5" max="5"/>
    <col width="7" customWidth="1" min="6" max="6"/>
    <col width="7" customWidth="1" min="7" max="7"/>
    <col width="15" customWidth="1" min="8" max="8"/>
    <col width="9" customWidth="1" min="9" max="9"/>
    <col width="11" customWidth="1" min="10" max="10"/>
    <col width="10" customWidth="1" min="11" max="11"/>
    <col width="7" customWidth="1" min="12" max="12"/>
    <col width="10" customWidth="1" min="13" max="13"/>
    <col width="14" customWidth="1" min="14" max="14"/>
    <col width="15" customWidth="1" min="15" max="15"/>
    <col width="46" customWidth="1" min="16" max="16"/>
  </cols>
  <sheetData>
    <row r="1" ht="30" customHeight="1">
      <c r="A1" s="10" t="inlineStr">
        <is>
          <t>Date</t>
        </is>
      </c>
      <c r="B1" s="10" t="inlineStr">
        <is>
          <t>Date is</t>
        </is>
      </c>
      <c r="C1" s="10" t="inlineStr">
        <is>
          <t>Days</t>
        </is>
      </c>
      <c r="D1" s="10" t="inlineStr">
        <is>
          <t>Event</t>
        </is>
      </c>
      <c r="E1" s="10" t="inlineStr">
        <is>
          <t>Venue</t>
        </is>
      </c>
      <c r="F1" s="10" t="inlineStr">
        <is>
          <t>State</t>
        </is>
      </c>
      <c r="G1" s="10" t="inlineStr">
        <is>
          <t>Draw</t>
        </is>
      </c>
      <c r="H1" s="10" t="inlineStr">
        <is>
          <t>Kind</t>
        </is>
      </c>
      <c r="I1" s="10" t="inlineStr">
        <is>
          <t>Her band</t>
        </is>
      </c>
      <c r="J1" s="10" t="inlineStr">
        <is>
          <t>Field median</t>
        </is>
      </c>
      <c r="K1" s="10" t="inlineStr">
        <is>
          <t>Above her</t>
        </is>
      </c>
      <c r="L1" s="10" t="inlineStr">
        <is>
          <t>Sets</t>
        </is>
      </c>
      <c r="M1" s="10" t="inlineStr">
        <is>
          <t>Contested</t>
        </is>
      </c>
      <c r="N1" s="10" t="inlineStr">
        <is>
          <t>Contested share</t>
        </is>
      </c>
      <c r="O1" s="10" t="inlineStr">
        <is>
          <t>Weekend pair</t>
        </is>
      </c>
      <c r="P1" s="10" t="inlineStr">
        <is>
          <t>Link</t>
        </is>
      </c>
    </row>
    <row r="2">
      <c r="A2" s="11" t="n">
        <v>46327</v>
      </c>
      <c r="B2" s="12" t="inlineStr">
        <is>
          <t>posted</t>
        </is>
      </c>
      <c r="C2" s="13" t="n">
        <v>1</v>
      </c>
      <c r="D2" s="12" t="inlineStr">
        <is>
          <t>America’s Challenge (p1440)</t>
        </is>
      </c>
      <c r="E2" s="12" t="inlineStr">
        <is>
          <t>Hermosa Beach Pier</t>
        </is>
      </c>
      <c r="F2" s="12" t="inlineStr">
        <is>
          <t>CA</t>
        </is>
      </c>
      <c r="G2" s="12" t="inlineStr">
        <is>
          <t>18U</t>
        </is>
      </c>
      <c r="H2" s="12" t="inlineStr">
        <is>
          <t>Junior circuit</t>
        </is>
      </c>
      <c r="I2" s="12" t="inlineStr"/>
      <c r="J2" s="14" t="n"/>
      <c r="K2" s="13" t="n"/>
      <c r="L2" s="15" t="n"/>
      <c r="M2" s="15" t="n"/>
      <c r="N2" s="16">
        <f>IFERROR(M2/L2,"")</f>
        <v/>
      </c>
      <c r="O2" s="12" t="inlineStr"/>
      <c r="P2" s="17" t="inlineStr">
        <is>
          <t>https://volleyballlife.com/tournament/35287</t>
        </is>
      </c>
    </row>
    <row r="3">
      <c r="A3" s="11" t="n">
        <v>46333</v>
      </c>
      <c r="B3" s="12" t="inlineStr">
        <is>
          <t>posted</t>
        </is>
      </c>
      <c r="C3" s="13" t="n">
        <v>2</v>
      </c>
      <c r="D3" s="12" t="inlineStr">
        <is>
          <t>AVP Juniors West Coast Championships</t>
        </is>
      </c>
      <c r="E3" s="12" t="inlineStr">
        <is>
          <t>Manhattan Beach</t>
        </is>
      </c>
      <c r="F3" s="12" t="inlineStr">
        <is>
          <t>CA</t>
        </is>
      </c>
      <c r="G3" s="12" t="inlineStr">
        <is>
          <t>18U</t>
        </is>
      </c>
      <c r="H3" s="12" t="inlineStr">
        <is>
          <t>National junior</t>
        </is>
      </c>
      <c r="I3" s="12" t="inlineStr"/>
      <c r="J3" s="14" t="n">
        <v>9.5015</v>
      </c>
      <c r="K3" s="13" t="n">
        <v>17</v>
      </c>
      <c r="L3" s="15" t="n">
        <v>14.66666666666667</v>
      </c>
      <c r="M3" s="15" t="n">
        <v>7</v>
      </c>
      <c r="N3" s="16">
        <f>IFERROR(M3/L3,"")</f>
        <v/>
      </c>
      <c r="O3" s="12" t="inlineStr"/>
      <c r="P3" s="17" t="inlineStr">
        <is>
          <t>https://volleyballlife.com/tournament/34245</t>
        </is>
      </c>
    </row>
    <row r="4">
      <c r="A4" s="11" t="n">
        <v>46333</v>
      </c>
      <c r="B4" s="12" t="inlineStr">
        <is>
          <t>posted</t>
        </is>
      </c>
      <c r="C4" s="13" t="n">
        <v>2</v>
      </c>
      <c r="D4" s="12" t="inlineStr">
        <is>
          <t>AVP Juniors West Coast Championships</t>
        </is>
      </c>
      <c r="E4" s="12" t="inlineStr">
        <is>
          <t>Manhattan Beach</t>
        </is>
      </c>
      <c r="F4" s="12" t="inlineStr">
        <is>
          <t>CA</t>
        </is>
      </c>
      <c r="G4" s="12" t="inlineStr">
        <is>
          <t>17U</t>
        </is>
      </c>
      <c r="H4" s="12" t="inlineStr">
        <is>
          <t>National junior</t>
        </is>
      </c>
      <c r="I4" s="12" t="inlineStr">
        <is>
          <t>yes</t>
        </is>
      </c>
      <c r="J4" s="14" t="n">
        <v>7.714</v>
      </c>
      <c r="K4" s="13" t="n">
        <v>0</v>
      </c>
      <c r="L4" s="15" t="n">
        <v>15</v>
      </c>
      <c r="M4" s="15" t="n">
        <v>5</v>
      </c>
      <c r="N4" s="16">
        <f>IFERROR(M4/L4,"")</f>
        <v/>
      </c>
      <c r="O4" s="12" t="inlineStr"/>
      <c r="P4" s="17" t="inlineStr">
        <is>
          <t>https://volleyballlife.com/tournament/34245</t>
        </is>
      </c>
    </row>
    <row r="5">
      <c r="A5" s="11" t="n">
        <v>46333</v>
      </c>
      <c r="B5" s="12" t="inlineStr">
        <is>
          <t>posted</t>
        </is>
      </c>
      <c r="C5" s="13" t="n">
        <v>1</v>
      </c>
      <c r="D5" s="12" t="inlineStr">
        <is>
          <t>CBVA women’s open</t>
        </is>
      </c>
      <c r="E5" s="12" t="inlineStr">
        <is>
          <t>Belmont Shore, Long Beach</t>
        </is>
      </c>
      <c r="F5" s="12" t="inlineStr">
        <is>
          <t>CA</t>
        </is>
      </c>
      <c r="G5" s="12" t="inlineStr">
        <is>
          <t>Open</t>
        </is>
      </c>
      <c r="H5" s="12" t="inlineStr">
        <is>
          <t>Women's open</t>
        </is>
      </c>
      <c r="I5" s="12" t="inlineStr"/>
      <c r="J5" s="14" t="n">
        <v>8.711</v>
      </c>
      <c r="K5" s="13" t="n">
        <v>5</v>
      </c>
      <c r="L5" s="15" t="n">
        <v>4</v>
      </c>
      <c r="M5" s="15" t="n">
        <v>1.666666666666667</v>
      </c>
      <c r="N5" s="16">
        <f>IFERROR(M5/L5,"")</f>
        <v/>
      </c>
      <c r="O5" s="12" t="inlineStr"/>
      <c r="P5" s="17" t="inlineStr">
        <is>
          <t>https://cbva.com/venues/3</t>
        </is>
      </c>
    </row>
    <row r="6">
      <c r="A6" s="11" t="n">
        <v>46340</v>
      </c>
      <c r="B6" s="12" t="inlineStr">
        <is>
          <t>posted</t>
        </is>
      </c>
      <c r="C6" s="13" t="n">
        <v>1</v>
      </c>
      <c r="D6" s="12" t="inlineStr">
        <is>
          <t>p1440 1X Ranking Event</t>
        </is>
      </c>
      <c r="E6" s="12" t="inlineStr">
        <is>
          <t>Arizona Athletic Grounds, Mesa</t>
        </is>
      </c>
      <c r="F6" s="12" t="inlineStr">
        <is>
          <t>AZ</t>
        </is>
      </c>
      <c r="G6" s="12" t="inlineStr">
        <is>
          <t>18U</t>
        </is>
      </c>
      <c r="H6" s="12" t="inlineStr">
        <is>
          <t>Junior circuit</t>
        </is>
      </c>
      <c r="I6" s="12" t="inlineStr"/>
      <c r="J6" s="14" t="n"/>
      <c r="K6" s="13" t="n"/>
      <c r="L6" s="15" t="n"/>
      <c r="M6" s="15" t="n"/>
      <c r="N6" s="16">
        <f>IFERROR(M6/L6,"")</f>
        <v/>
      </c>
      <c r="O6" s="12" t="inlineStr"/>
      <c r="P6" s="17" t="inlineStr">
        <is>
          <t>https://volleyballlife.com/tournament/41163</t>
        </is>
      </c>
    </row>
    <row r="7">
      <c r="A7" s="11" t="n">
        <v>46340</v>
      </c>
      <c r="B7" s="12" t="inlineStr">
        <is>
          <t>posted</t>
        </is>
      </c>
      <c r="C7" s="13" t="n">
        <v>1</v>
      </c>
      <c r="D7" s="12" t="inlineStr">
        <is>
          <t>The National Classic (p1440)</t>
        </is>
      </c>
      <c r="E7" s="12" t="inlineStr">
        <is>
          <t>Hermosa Beach Pier</t>
        </is>
      </c>
      <c r="F7" s="12" t="inlineStr">
        <is>
          <t>CA</t>
        </is>
      </c>
      <c r="G7" s="12" t="inlineStr">
        <is>
          <t>18U</t>
        </is>
      </c>
      <c r="H7" s="12" t="inlineStr">
        <is>
          <t>Junior circuit</t>
        </is>
      </c>
      <c r="I7" s="12" t="inlineStr"/>
      <c r="J7" s="14" t="n">
        <v>8.597</v>
      </c>
      <c r="K7" s="13" t="n">
        <v>1</v>
      </c>
      <c r="L7" s="15" t="n">
        <v>1</v>
      </c>
      <c r="M7" s="15" t="n">
        <v>0</v>
      </c>
      <c r="N7" s="16">
        <f>IFERROR(M7/L7,"")</f>
        <v/>
      </c>
      <c r="O7" s="12" t="inlineStr"/>
      <c r="P7" s="17" t="inlineStr">
        <is>
          <t>https://volleyballlife.com/tournament/35286</t>
        </is>
      </c>
    </row>
    <row r="8">
      <c r="A8" s="11" t="n">
        <v>46340</v>
      </c>
      <c r="B8" s="12" t="inlineStr">
        <is>
          <t>posted</t>
        </is>
      </c>
      <c r="C8" s="13" t="n">
        <v>1</v>
      </c>
      <c r="D8" s="12" t="inlineStr">
        <is>
          <t>CBVA women’s open</t>
        </is>
      </c>
      <c r="E8" s="12" t="inlineStr">
        <is>
          <t>Newland, Huntington Beach</t>
        </is>
      </c>
      <c r="F8" s="12" t="inlineStr">
        <is>
          <t>CA</t>
        </is>
      </c>
      <c r="G8" s="12" t="inlineStr">
        <is>
          <t>Open</t>
        </is>
      </c>
      <c r="H8" s="12" t="inlineStr">
        <is>
          <t>Women's open</t>
        </is>
      </c>
      <c r="I8" s="12" t="inlineStr"/>
      <c r="J8" s="14" t="n">
        <v>8.769</v>
      </c>
      <c r="K8" s="13" t="n">
        <v>6</v>
      </c>
      <c r="L8" s="15" t="n">
        <v>4.0625</v>
      </c>
      <c r="M8" s="15" t="n">
        <v>1.8125</v>
      </c>
      <c r="N8" s="16">
        <f>IFERROR(M8/L8,"")</f>
        <v/>
      </c>
      <c r="O8" s="12" t="inlineStr"/>
      <c r="P8" s="17" t="inlineStr">
        <is>
          <t>https://cbva.com/venues/4</t>
        </is>
      </c>
    </row>
    <row r="9">
      <c r="A9" s="11" t="n">
        <v>46347</v>
      </c>
      <c r="B9" s="12" t="inlineStr">
        <is>
          <t>posted</t>
        </is>
      </c>
      <c r="C9" s="13" t="n">
        <v>2</v>
      </c>
      <c r="D9" s="12" t="inlineStr">
        <is>
          <t>Futures Tour 3X: Fall Championships</t>
        </is>
      </c>
      <c r="E9" s="12" t="inlineStr">
        <is>
          <t>Manhattan Beach</t>
        </is>
      </c>
      <c r="F9" s="12" t="inlineStr">
        <is>
          <t>CA</t>
        </is>
      </c>
      <c r="G9" s="12" t="inlineStr">
        <is>
          <t>18U</t>
        </is>
      </c>
      <c r="H9" s="12" t="inlineStr">
        <is>
          <t>National junior</t>
        </is>
      </c>
      <c r="I9" s="12" t="inlineStr">
        <is>
          <t>yes</t>
        </is>
      </c>
      <c r="J9" s="14" t="n"/>
      <c r="K9" s="13" t="n"/>
      <c r="L9" s="15" t="n"/>
      <c r="M9" s="15" t="n"/>
      <c r="N9" s="16">
        <f>IFERROR(M9/L9,"")</f>
        <v/>
      </c>
      <c r="O9" s="12" t="inlineStr"/>
      <c r="P9" s="17" t="inlineStr">
        <is>
          <t>https://volleyballlife.com/tournament/41692</t>
        </is>
      </c>
    </row>
    <row r="10">
      <c r="A10" s="11" t="n">
        <v>46347</v>
      </c>
      <c r="B10" s="12" t="inlineStr">
        <is>
          <t>posted</t>
        </is>
      </c>
      <c r="C10" s="13" t="n">
        <v>1</v>
      </c>
      <c r="D10" s="12" t="inlineStr">
        <is>
          <t>MAVERICKS AVP Qualifier</t>
        </is>
      </c>
      <c r="E10" s="12" t="inlineStr">
        <is>
          <t>Main Beach, Santa Cruz</t>
        </is>
      </c>
      <c r="F10" s="12" t="inlineStr">
        <is>
          <t>CA</t>
        </is>
      </c>
      <c r="G10" s="12" t="inlineStr">
        <is>
          <t>18U</t>
        </is>
      </c>
      <c r="H10" s="12" t="inlineStr">
        <is>
          <t>Junior circuit</t>
        </is>
      </c>
      <c r="I10" s="12" t="inlineStr"/>
      <c r="J10" s="14" t="n">
        <v>6.429</v>
      </c>
      <c r="K10" s="13" t="n">
        <v>0</v>
      </c>
      <c r="L10" s="15" t="n"/>
      <c r="M10" s="15" t="n"/>
      <c r="N10" s="16">
        <f>IFERROR(M10/L10,"")</f>
        <v/>
      </c>
      <c r="O10" s="12" t="inlineStr"/>
      <c r="P10" s="17" t="inlineStr">
        <is>
          <t>https://volleyballlife.com/tournament/35628</t>
        </is>
      </c>
    </row>
    <row r="11">
      <c r="A11" s="11" t="n">
        <v>46347</v>
      </c>
      <c r="B11" s="12" t="inlineStr">
        <is>
          <t>posted</t>
        </is>
      </c>
      <c r="C11" s="13" t="n">
        <v>1</v>
      </c>
      <c r="D11" s="12" t="inlineStr">
        <is>
          <t>CBVA women’s open</t>
        </is>
      </c>
      <c r="E11" s="12" t="inlineStr">
        <is>
          <t>North Beach, Santa Monica</t>
        </is>
      </c>
      <c r="F11" s="12" t="inlineStr">
        <is>
          <t>CA</t>
        </is>
      </c>
      <c r="G11" s="12" t="inlineStr">
        <is>
          <t>Open</t>
        </is>
      </c>
      <c r="H11" s="12" t="inlineStr">
        <is>
          <t>Women's open</t>
        </is>
      </c>
      <c r="I11" s="12" t="inlineStr"/>
      <c r="J11" s="14" t="n"/>
      <c r="K11" s="13" t="n">
        <v>0</v>
      </c>
      <c r="L11" s="15" t="n"/>
      <c r="M11" s="15" t="n"/>
      <c r="N11" s="16">
        <f>IFERROR(M11/L11,"")</f>
        <v/>
      </c>
      <c r="O11" s="12" t="inlineStr">
        <is>
          <t>21 Nov + 22 Nov</t>
        </is>
      </c>
      <c r="P11" s="17" t="inlineStr">
        <is>
          <t>https://cbva.com/venues/16</t>
        </is>
      </c>
    </row>
    <row r="12">
      <c r="A12" s="11" t="n">
        <v>46348</v>
      </c>
      <c r="B12" s="12" t="inlineStr">
        <is>
          <t>posted</t>
        </is>
      </c>
      <c r="C12" s="13" t="n">
        <v>1</v>
      </c>
      <c r="D12" s="12" t="inlineStr">
        <is>
          <t>CBVA women’s open</t>
        </is>
      </c>
      <c r="E12" s="12" t="inlineStr">
        <is>
          <t>Main Beach, Laguna Beach</t>
        </is>
      </c>
      <c r="F12" s="12" t="inlineStr">
        <is>
          <t>CA</t>
        </is>
      </c>
      <c r="G12" s="12" t="inlineStr">
        <is>
          <t>Open</t>
        </is>
      </c>
      <c r="H12" s="12" t="inlineStr">
        <is>
          <t>Women's open</t>
        </is>
      </c>
      <c r="I12" s="12" t="inlineStr"/>
      <c r="J12" s="14" t="n">
        <v>8.929</v>
      </c>
      <c r="K12" s="13" t="n">
        <v>4</v>
      </c>
      <c r="L12" s="15" t="n">
        <v>6.5</v>
      </c>
      <c r="M12" s="15" t="n">
        <v>5.5</v>
      </c>
      <c r="N12" s="16">
        <f>IFERROR(M12/L12,"")</f>
        <v/>
      </c>
      <c r="O12" s="12" t="inlineStr">
        <is>
          <t>21 Nov + 22 Nov</t>
        </is>
      </c>
      <c r="P12" s="17" t="inlineStr">
        <is>
          <t>https://cbva.com/venues/5</t>
        </is>
      </c>
    </row>
    <row r="13">
      <c r="A13" s="11" t="n">
        <v>46368</v>
      </c>
      <c r="B13" s="12" t="inlineStr">
        <is>
          <t>posted</t>
        </is>
      </c>
      <c r="C13" s="13" t="n">
        <v>1</v>
      </c>
      <c r="D13" s="12" t="inlineStr">
        <is>
          <t>AVP Winter Las Vegas</t>
        </is>
      </c>
      <c r="E13" s="12" t="inlineStr">
        <is>
          <t>Sunset Park, Las Vegas</t>
        </is>
      </c>
      <c r="F13" s="12" t="inlineStr">
        <is>
          <t>NV</t>
        </is>
      </c>
      <c r="G13" s="12" t="inlineStr">
        <is>
          <t>18U</t>
        </is>
      </c>
      <c r="H13" s="12" t="inlineStr">
        <is>
          <t>Junior circuit</t>
        </is>
      </c>
      <c r="I13" s="12" t="inlineStr"/>
      <c r="J13" s="14" t="n">
        <v>6.2515</v>
      </c>
      <c r="K13" s="13" t="n">
        <v>0</v>
      </c>
      <c r="L13" s="15" t="n"/>
      <c r="M13" s="15" t="n"/>
      <c r="N13" s="16">
        <f>IFERROR(M13/L13,"")</f>
        <v/>
      </c>
      <c r="O13" s="12" t="inlineStr"/>
      <c r="P13" s="17" t="inlineStr">
        <is>
          <t>https://volleyballlife.com/tournament/41138</t>
        </is>
      </c>
    </row>
    <row r="14">
      <c r="A14" s="11" t="n">
        <v>46368</v>
      </c>
      <c r="B14" s="12" t="inlineStr">
        <is>
          <t>posted</t>
        </is>
      </c>
      <c r="C14" s="13" t="n">
        <v>1</v>
      </c>
      <c r="D14" s="12" t="inlineStr">
        <is>
          <t>p1440 1X Ranking Event</t>
        </is>
      </c>
      <c r="E14" s="12" t="inlineStr">
        <is>
          <t>Arizona Athletic Grounds, Mesa</t>
        </is>
      </c>
      <c r="F14" s="12" t="inlineStr">
        <is>
          <t>AZ</t>
        </is>
      </c>
      <c r="G14" s="12" t="inlineStr">
        <is>
          <t>18U</t>
        </is>
      </c>
      <c r="H14" s="12" t="inlineStr">
        <is>
          <t>Junior circuit</t>
        </is>
      </c>
      <c r="I14" s="12" t="inlineStr"/>
      <c r="J14" s="14" t="n"/>
      <c r="K14" s="13" t="n"/>
      <c r="L14" s="15" t="n"/>
      <c r="M14" s="15" t="n"/>
      <c r="N14" s="16">
        <f>IFERROR(M14/L14,"")</f>
        <v/>
      </c>
      <c r="O14" s="12" t="inlineStr"/>
      <c r="P14" s="17" t="inlineStr">
        <is>
          <t>https://volleyballlife.com/tournament/41164</t>
        </is>
      </c>
    </row>
    <row r="15">
      <c r="A15" s="11" t="n">
        <v>46369</v>
      </c>
      <c r="B15" s="12" t="inlineStr">
        <is>
          <t>posted</t>
        </is>
      </c>
      <c r="C15" s="13" t="n">
        <v>1</v>
      </c>
      <c r="D15" s="12" t="inlineStr">
        <is>
          <t>Los Angeles Grand Prix (p1440)</t>
        </is>
      </c>
      <c r="E15" s="12" t="inlineStr">
        <is>
          <t>Hermosa Beach Pier</t>
        </is>
      </c>
      <c r="F15" s="12" t="inlineStr">
        <is>
          <t>CA</t>
        </is>
      </c>
      <c r="G15" s="12" t="inlineStr">
        <is>
          <t>18U</t>
        </is>
      </c>
      <c r="H15" s="12" t="inlineStr">
        <is>
          <t>Junior circuit</t>
        </is>
      </c>
      <c r="I15" s="12" t="inlineStr"/>
      <c r="J15" s="14" t="n">
        <v>9.130500000000001</v>
      </c>
      <c r="K15" s="13" t="n">
        <v>6</v>
      </c>
      <c r="L15" s="15" t="n">
        <v>2.5</v>
      </c>
      <c r="M15" s="15" t="n">
        <v>1</v>
      </c>
      <c r="N15" s="16">
        <f>IFERROR(M15/L15,"")</f>
        <v/>
      </c>
      <c r="O15" s="12" t="inlineStr"/>
      <c r="P15" s="17" t="inlineStr">
        <is>
          <t>https://volleyballlife.com/tournament/32937</t>
        </is>
      </c>
    </row>
    <row r="16">
      <c r="A16" s="11" t="n">
        <v>46369</v>
      </c>
      <c r="B16" s="12" t="inlineStr">
        <is>
          <t>posted</t>
        </is>
      </c>
      <c r="C16" s="13" t="n">
        <v>1</v>
      </c>
      <c r="D16" s="12" t="inlineStr">
        <is>
          <t>Pan Pacific Championships (p1440)</t>
        </is>
      </c>
      <c r="E16" s="12" t="inlineStr">
        <is>
          <t>Hermosa Beach Pier</t>
        </is>
      </c>
      <c r="F16" s="12" t="inlineStr">
        <is>
          <t>CA</t>
        </is>
      </c>
      <c r="G16" s="12" t="inlineStr">
        <is>
          <t>18U</t>
        </is>
      </c>
      <c r="H16" s="12" t="inlineStr">
        <is>
          <t>Junior circuit</t>
        </is>
      </c>
      <c r="I16" s="12" t="inlineStr"/>
      <c r="J16" s="14" t="n">
        <v>8.743</v>
      </c>
      <c r="K16" s="13" t="n">
        <v>0</v>
      </c>
      <c r="L16" s="15" t="n">
        <v>2</v>
      </c>
      <c r="M16" s="15" t="n">
        <v>1</v>
      </c>
      <c r="N16" s="16">
        <f>IFERROR(M16/L16,"")</f>
        <v/>
      </c>
      <c r="O16" s="12" t="inlineStr"/>
      <c r="P16" s="17" t="inlineStr">
        <is>
          <t>https://volleyballlife.com/tournament/35288</t>
        </is>
      </c>
    </row>
    <row r="17">
      <c r="A17" s="11" t="n">
        <v>46386</v>
      </c>
      <c r="B17" s="12" t="inlineStr">
        <is>
          <t>posted</t>
        </is>
      </c>
      <c r="C17" s="13" t="n">
        <v>1</v>
      </c>
      <c r="D17" s="12" t="inlineStr">
        <is>
          <t>IBVL Winter Series #1 (Girls)</t>
        </is>
      </c>
      <c r="E17" s="12" t="inlineStr">
        <is>
          <t>Hermosa Beach Pier</t>
        </is>
      </c>
      <c r="F17" s="12" t="inlineStr">
        <is>
          <t>CA</t>
        </is>
      </c>
      <c r="G17" s="12" t="inlineStr">
        <is>
          <t>18U</t>
        </is>
      </c>
      <c r="H17" s="12" t="inlineStr">
        <is>
          <t>Junior circuit</t>
        </is>
      </c>
      <c r="I17" s="12" t="inlineStr"/>
      <c r="J17" s="14" t="n">
        <v>9.076499999999999</v>
      </c>
      <c r="K17" s="13" t="n">
        <v>8</v>
      </c>
      <c r="L17" s="15" t="n">
        <v>7.75</v>
      </c>
      <c r="M17" s="15" t="n">
        <v>4</v>
      </c>
      <c r="N17" s="16">
        <f>IFERROR(M17/L17,"")</f>
        <v/>
      </c>
      <c r="O17" s="12" t="inlineStr"/>
      <c r="P17" s="17" t="inlineStr">
        <is>
          <t>https://volleyballlife.com/tournament/41068</t>
        </is>
      </c>
    </row>
    <row r="18">
      <c r="A18" s="11" t="n">
        <v>46396</v>
      </c>
      <c r="B18" s="12" t="inlineStr">
        <is>
          <t>posted</t>
        </is>
      </c>
      <c r="C18" s="13" t="n">
        <v>1</v>
      </c>
      <c r="D18" s="12" t="inlineStr">
        <is>
          <t>p1440 1X Ranking Event</t>
        </is>
      </c>
      <c r="E18" s="12" t="inlineStr">
        <is>
          <t>Arizona Athletic Grounds, Mesa</t>
        </is>
      </c>
      <c r="F18" s="12" t="inlineStr">
        <is>
          <t>AZ</t>
        </is>
      </c>
      <c r="G18" s="12" t="inlineStr">
        <is>
          <t>18U</t>
        </is>
      </c>
      <c r="H18" s="12" t="inlineStr">
        <is>
          <t>Junior circuit</t>
        </is>
      </c>
      <c r="I18" s="12" t="inlineStr"/>
      <c r="J18" s="14" t="n"/>
      <c r="K18" s="13" t="n"/>
      <c r="L18" s="15" t="n"/>
      <c r="M18" s="15" t="n"/>
      <c r="N18" s="16">
        <f>IFERROR(M18/L18,"")</f>
        <v/>
      </c>
      <c r="O18" s="12" t="inlineStr"/>
      <c r="P18" s="17" t="inlineStr">
        <is>
          <t>https://volleyballlife.com/tournament/41165</t>
        </is>
      </c>
    </row>
    <row r="19">
      <c r="A19" s="11" t="n">
        <v>46397</v>
      </c>
      <c r="B19" s="12" t="inlineStr">
        <is>
          <t>posted</t>
        </is>
      </c>
      <c r="C19" s="13" t="n">
        <v>1</v>
      </c>
      <c r="D19" s="12" t="inlineStr">
        <is>
          <t>IBVL Winter Classic (Girls p1440)</t>
        </is>
      </c>
      <c r="E19" s="12" t="inlineStr">
        <is>
          <t>Hermosa Beach Pier</t>
        </is>
      </c>
      <c r="F19" s="12" t="inlineStr">
        <is>
          <t>CA</t>
        </is>
      </c>
      <c r="G19" s="12" t="inlineStr">
        <is>
          <t>18U</t>
        </is>
      </c>
      <c r="H19" s="12" t="inlineStr">
        <is>
          <t>Junior circuit</t>
        </is>
      </c>
      <c r="I19" s="12" t="inlineStr"/>
      <c r="J19" s="14" t="n">
        <v>9.076499999999999</v>
      </c>
      <c r="K19" s="13" t="n">
        <v>8</v>
      </c>
      <c r="L19" s="15" t="n">
        <v>7.75</v>
      </c>
      <c r="M19" s="15" t="n">
        <v>4</v>
      </c>
      <c r="N19" s="16">
        <f>IFERROR(M19/L19,"")</f>
        <v/>
      </c>
      <c r="O19" s="12" t="inlineStr"/>
      <c r="P19" s="17" t="inlineStr">
        <is>
          <t>https://volleyballlife.com/tournament/41069</t>
        </is>
      </c>
    </row>
    <row r="20">
      <c r="A20" s="11" t="n">
        <v>46403</v>
      </c>
      <c r="B20" s="12" t="inlineStr">
        <is>
          <t>posted</t>
        </is>
      </c>
      <c r="C20" s="13" t="n">
        <v>2</v>
      </c>
      <c r="D20" s="12" t="inlineStr">
        <is>
          <t>Futures Tour 2X: Arizona</t>
        </is>
      </c>
      <c r="E20" s="12" t="inlineStr">
        <is>
          <t>Arizona Athletic Grounds, Mesa</t>
        </is>
      </c>
      <c r="F20" s="12" t="inlineStr">
        <is>
          <t>AZ</t>
        </is>
      </c>
      <c r="G20" s="12" t="inlineStr">
        <is>
          <t>18U</t>
        </is>
      </c>
      <c r="H20" s="12" t="inlineStr">
        <is>
          <t>Junior circuit</t>
        </is>
      </c>
      <c r="I20" s="12" t="inlineStr">
        <is>
          <t>yes</t>
        </is>
      </c>
      <c r="J20" s="14" t="n">
        <v>8.286</v>
      </c>
      <c r="K20" s="13" t="n">
        <v>9</v>
      </c>
      <c r="L20" s="15" t="n">
        <v>21</v>
      </c>
      <c r="M20" s="15" t="n">
        <v>8.25</v>
      </c>
      <c r="N20" s="16">
        <f>IFERROR(M20/L20,"")</f>
        <v/>
      </c>
      <c r="O20" s="12" t="inlineStr"/>
      <c r="P20" s="17" t="inlineStr">
        <is>
          <t>https://volleyballlife.com/tournament/41707</t>
        </is>
      </c>
    </row>
    <row r="21">
      <c r="A21" s="11" t="n">
        <v>46410</v>
      </c>
      <c r="B21" s="12" t="inlineStr">
        <is>
          <t>posted</t>
        </is>
      </c>
      <c r="C21" s="13" t="n">
        <v>2</v>
      </c>
      <c r="D21" s="12" t="inlineStr">
        <is>
          <t>IBVL Winter Nationals (Girls)</t>
        </is>
      </c>
      <c r="E21" s="12" t="inlineStr">
        <is>
          <t>Hermosa Beach Pier</t>
        </is>
      </c>
      <c r="F21" s="12" t="inlineStr">
        <is>
          <t>CA</t>
        </is>
      </c>
      <c r="G21" s="12" t="inlineStr">
        <is>
          <t>18U</t>
        </is>
      </c>
      <c r="H21" s="12" t="inlineStr">
        <is>
          <t>Junior circuit</t>
        </is>
      </c>
      <c r="I21" s="12" t="inlineStr"/>
      <c r="J21" s="14" t="n">
        <v>9.484999999999999</v>
      </c>
      <c r="K21" s="13" t="n">
        <v>4</v>
      </c>
      <c r="L21" s="15" t="n">
        <v>16</v>
      </c>
      <c r="M21" s="15" t="n">
        <v>11</v>
      </c>
      <c r="N21" s="16">
        <f>IFERROR(M21/L21,"")</f>
        <v/>
      </c>
      <c r="O21" s="12" t="inlineStr"/>
      <c r="P21" s="17" t="inlineStr">
        <is>
          <t>https://volleyballlife.com/tournament/41070</t>
        </is>
      </c>
    </row>
    <row r="22">
      <c r="A22" s="11" t="n">
        <v>46416</v>
      </c>
      <c r="B22" s="12" t="inlineStr">
        <is>
          <t>estimated</t>
        </is>
      </c>
      <c r="C22" s="13" t="n">
        <v>2</v>
      </c>
      <c r="D22" s="12" t="inlineStr">
        <is>
          <t>USAV U18 Beach National Team Trials</t>
        </is>
      </c>
      <c r="E22" s="12" t="inlineStr">
        <is>
          <t>Manhattan Beach Pier</t>
        </is>
      </c>
      <c r="F22" s="12" t="inlineStr">
        <is>
          <t>CA</t>
        </is>
      </c>
      <c r="G22" s="12" t="inlineStr">
        <is>
          <t>18U</t>
        </is>
      </c>
      <c r="H22" s="12" t="inlineStr">
        <is>
          <t>Selection</t>
        </is>
      </c>
      <c r="I22" s="12" t="inlineStr">
        <is>
          <t>yes</t>
        </is>
      </c>
      <c r="J22" s="14" t="n">
        <v>9.4015</v>
      </c>
      <c r="K22" s="13" t="n">
        <v>4</v>
      </c>
      <c r="L22" s="15" t="n">
        <v>12.5</v>
      </c>
      <c r="M22" s="15" t="n">
        <v>9.5</v>
      </c>
      <c r="N22" s="16">
        <f>IFERROR(M22/L22,"")</f>
        <v/>
      </c>
      <c r="O22" s="12" t="inlineStr"/>
      <c r="P22" s="17" t="inlineStr">
        <is>
          <t>https://volleyballlife.com/tournament/34180</t>
        </is>
      </c>
    </row>
    <row r="23">
      <c r="A23" s="11" t="n">
        <v>46424</v>
      </c>
      <c r="B23" s="12" t="inlineStr">
        <is>
          <t>posted</t>
        </is>
      </c>
      <c r="C23" s="13" t="n">
        <v>1</v>
      </c>
      <c r="D23" s="12" t="inlineStr">
        <is>
          <t>Kauai Bikini Open</t>
        </is>
      </c>
      <c r="E23" s="12" t="inlineStr">
        <is>
          <t>North Beach, Santa Monica</t>
        </is>
      </c>
      <c r="F23" s="12" t="inlineStr">
        <is>
          <t>CA</t>
        </is>
      </c>
      <c r="G23" s="12" t="inlineStr">
        <is>
          <t>18U</t>
        </is>
      </c>
      <c r="H23" s="12" t="inlineStr">
        <is>
          <t>Junior circuit</t>
        </is>
      </c>
      <c r="I23" s="12" t="inlineStr"/>
      <c r="J23" s="14" t="n">
        <v>7.224</v>
      </c>
      <c r="K23" s="13" t="n">
        <v>0</v>
      </c>
      <c r="L23" s="15" t="n"/>
      <c r="M23" s="15" t="n"/>
      <c r="N23" s="16">
        <f>IFERROR(M23/L23,"")</f>
        <v/>
      </c>
      <c r="O23" s="12" t="inlineStr">
        <is>
          <t>6 Feb + 7 Feb</t>
        </is>
      </c>
      <c r="P23" s="17" t="inlineStr">
        <is>
          <t>https://volleyballlife.com/tournament/41121</t>
        </is>
      </c>
    </row>
    <row r="24">
      <c r="A24" s="11" t="n">
        <v>46425</v>
      </c>
      <c r="B24" s="12" t="inlineStr">
        <is>
          <t>posted</t>
        </is>
      </c>
      <c r="C24" s="13" t="n">
        <v>1</v>
      </c>
      <c r="D24" s="12" t="inlineStr">
        <is>
          <t>IBVL Winter Nationals (School Event) — ISF trial</t>
        </is>
      </c>
      <c r="E24" s="12" t="inlineStr">
        <is>
          <t>Hermosa Beach Pier</t>
        </is>
      </c>
      <c r="F24" s="12" t="inlineStr">
        <is>
          <t>CA</t>
        </is>
      </c>
      <c r="G24" s="12" t="inlineStr">
        <is>
          <t>18U</t>
        </is>
      </c>
      <c r="H24" s="12" t="inlineStr">
        <is>
          <t>Selection</t>
        </is>
      </c>
      <c r="I24" s="12" t="inlineStr">
        <is>
          <t>yes</t>
        </is>
      </c>
      <c r="J24" s="14" t="n">
        <v>9.484999999999999</v>
      </c>
      <c r="K24" s="13" t="n">
        <v>4</v>
      </c>
      <c r="L24" s="15" t="n">
        <v>16</v>
      </c>
      <c r="M24" s="15" t="n">
        <v>11</v>
      </c>
      <c r="N24" s="16">
        <f>IFERROR(M24/L24,"")</f>
        <v/>
      </c>
      <c r="O24" s="12" t="inlineStr">
        <is>
          <t>6 Feb + 7 Feb</t>
        </is>
      </c>
      <c r="P24" s="17" t="inlineStr">
        <is>
          <t>https://volleyballlife.com/tournament/41071</t>
        </is>
      </c>
    </row>
    <row r="25">
      <c r="A25" s="11" t="n">
        <v>46431</v>
      </c>
      <c r="B25" s="12" t="inlineStr">
        <is>
          <t>posted</t>
        </is>
      </c>
      <c r="C25" s="13" t="n">
        <v>1</v>
      </c>
      <c r="D25" s="12" t="inlineStr">
        <is>
          <t>p1440 1X Ranking Event</t>
        </is>
      </c>
      <c r="E25" s="12" t="inlineStr">
        <is>
          <t>Arizona Athletic Grounds, Mesa</t>
        </is>
      </c>
      <c r="F25" s="12" t="inlineStr">
        <is>
          <t>AZ</t>
        </is>
      </c>
      <c r="G25" s="12" t="inlineStr">
        <is>
          <t>18U</t>
        </is>
      </c>
      <c r="H25" s="12" t="inlineStr">
        <is>
          <t>Junior circuit</t>
        </is>
      </c>
      <c r="I25" s="12" t="inlineStr"/>
      <c r="J25" s="14" t="n"/>
      <c r="K25" s="13" t="n"/>
      <c r="L25" s="15" t="n"/>
      <c r="M25" s="15" t="n"/>
      <c r="N25" s="16">
        <f>IFERROR(M25/L25,"")</f>
        <v/>
      </c>
      <c r="O25" s="12" t="inlineStr"/>
      <c r="P25" s="17" t="inlineStr">
        <is>
          <t>https://volleyballlife.com/tournament/41166</t>
        </is>
      </c>
    </row>
    <row r="26">
      <c r="A26" s="11" t="n">
        <v>46445</v>
      </c>
      <c r="B26" s="12" t="inlineStr">
        <is>
          <t>estimated</t>
        </is>
      </c>
      <c r="C26" s="13" t="n">
        <v>1</v>
      </c>
      <c r="D26" s="12" t="inlineStr">
        <is>
          <t>Highline Sponsorship Open ($5K)</t>
        </is>
      </c>
      <c r="E26" s="12" t="inlineStr">
        <is>
          <t>Ocean Park North, Santa Monica</t>
        </is>
      </c>
      <c r="F26" s="12" t="inlineStr">
        <is>
          <t>CA</t>
        </is>
      </c>
      <c r="G26" s="12" t="inlineStr">
        <is>
          <t>Open</t>
        </is>
      </c>
      <c r="H26" s="12" t="inlineStr">
        <is>
          <t>Out of reach</t>
        </is>
      </c>
      <c r="I26" s="12" t="inlineStr"/>
      <c r="J26" s="14" t="n">
        <v>10.0125</v>
      </c>
      <c r="K26" s="13" t="n">
        <v>17</v>
      </c>
      <c r="L26" s="15" t="n">
        <v>5.5</v>
      </c>
      <c r="M26" s="15" t="n">
        <v>3.25</v>
      </c>
      <c r="N26" s="16">
        <f>IFERROR(M26/L26,"")</f>
        <v/>
      </c>
      <c r="O26" s="12" t="inlineStr"/>
      <c r="P26" s="17" t="inlineStr">
        <is>
          <t>https://volleyballlife.com/tournament/36177</t>
        </is>
      </c>
    </row>
    <row r="27">
      <c r="A27" s="11" t="n">
        <v>46453</v>
      </c>
      <c r="B27" s="12" t="inlineStr">
        <is>
          <t>posted</t>
        </is>
      </c>
      <c r="C27" s="13" t="n">
        <v>1</v>
      </c>
      <c r="D27" s="12" t="inlineStr">
        <is>
          <t>California IBVL Winter Series Championships (p1440)</t>
        </is>
      </c>
      <c r="E27" s="12" t="inlineStr">
        <is>
          <t>Hermosa Beach Pier</t>
        </is>
      </c>
      <c r="F27" s="12" t="inlineStr">
        <is>
          <t>CA</t>
        </is>
      </c>
      <c r="G27" s="12" t="inlineStr">
        <is>
          <t>18U</t>
        </is>
      </c>
      <c r="H27" s="12" t="inlineStr">
        <is>
          <t>Junior circuit</t>
        </is>
      </c>
      <c r="I27" s="12" t="inlineStr"/>
      <c r="J27" s="14" t="n">
        <v>8.922000000000001</v>
      </c>
      <c r="K27" s="13" t="n">
        <v>1</v>
      </c>
      <c r="L27" s="15" t="n">
        <v>8.333333333333334</v>
      </c>
      <c r="M27" s="15" t="n">
        <v>8</v>
      </c>
      <c r="N27" s="16">
        <f>IFERROR(M27/L27,"")</f>
        <v/>
      </c>
      <c r="O27" s="12" t="inlineStr">
        <is>
          <t>6 Mar + 7 Mar</t>
        </is>
      </c>
      <c r="P27" s="17" t="inlineStr">
        <is>
          <t>https://volleyballlife.com/tournament/41072</t>
        </is>
      </c>
    </row>
    <row r="28">
      <c r="A28" s="11" t="n">
        <v>46467</v>
      </c>
      <c r="B28" s="12" t="inlineStr">
        <is>
          <t>posted</t>
        </is>
      </c>
      <c r="C28" s="13" t="n">
        <v>1</v>
      </c>
      <c r="D28" s="12" t="inlineStr">
        <is>
          <t>Marine Open (Girls p1440)</t>
        </is>
      </c>
      <c r="E28" s="12" t="inlineStr">
        <is>
          <t>Manhattan Beach Lifeguard HQ</t>
        </is>
      </c>
      <c r="F28" s="12" t="inlineStr">
        <is>
          <t>CA</t>
        </is>
      </c>
      <c r="G28" s="12" t="inlineStr">
        <is>
          <t>18U</t>
        </is>
      </c>
      <c r="H28" s="12" t="inlineStr">
        <is>
          <t>Junior circuit</t>
        </is>
      </c>
      <c r="I28" s="12" t="inlineStr"/>
      <c r="J28" s="14" t="n"/>
      <c r="K28" s="13" t="n">
        <v>0</v>
      </c>
      <c r="L28" s="15" t="n"/>
      <c r="M28" s="15" t="n"/>
      <c r="N28" s="16">
        <f>IFERROR(M28/L28,"")</f>
        <v/>
      </c>
      <c r="O28" s="12" t="inlineStr">
        <is>
          <t>20 Mar + 21 Mar</t>
        </is>
      </c>
      <c r="P28" s="17" t="inlineStr">
        <is>
          <t>https://volleyballlife.com/tournament/41074</t>
        </is>
      </c>
    </row>
    <row r="29">
      <c r="A29" s="11" t="n">
        <v>46452</v>
      </c>
      <c r="B29" s="12" t="inlineStr">
        <is>
          <t>projected</t>
        </is>
      </c>
      <c r="C29" s="13" t="n">
        <v>1</v>
      </c>
      <c r="D29" s="12" t="inlineStr">
        <is>
          <t>CBVA women’s open</t>
        </is>
      </c>
      <c r="E29" s="12" t="inlineStr">
        <is>
          <t>Manhattan Pier, Manhattan Beach</t>
        </is>
      </c>
      <c r="F29" s="12" t="inlineStr">
        <is>
          <t>CA</t>
        </is>
      </c>
      <c r="G29" s="12" t="inlineStr">
        <is>
          <t>Open</t>
        </is>
      </c>
      <c r="H29" s="12" t="inlineStr">
        <is>
          <t>Women's open</t>
        </is>
      </c>
      <c r="I29" s="12" t="inlineStr"/>
      <c r="J29" s="14" t="n">
        <v>9.166499999999999</v>
      </c>
      <c r="K29" s="13" t="n">
        <v>6</v>
      </c>
      <c r="L29" s="15" t="n">
        <v>9.266666666666667</v>
      </c>
      <c r="M29" s="15" t="n">
        <v>5.933333333333334</v>
      </c>
      <c r="N29" s="16">
        <f>IFERROR(M29/L29,"")</f>
        <v/>
      </c>
      <c r="O29" s="12" t="inlineStr">
        <is>
          <t>6 Mar + 7 Mar</t>
        </is>
      </c>
      <c r="P29" s="17" t="inlineStr">
        <is>
          <t>https://cbva.com/venues/2</t>
        </is>
      </c>
    </row>
    <row r="30">
      <c r="A30" s="11" t="n">
        <v>46466</v>
      </c>
      <c r="B30" s="12" t="inlineStr">
        <is>
          <t>projected</t>
        </is>
      </c>
      <c r="C30" s="13" t="n">
        <v>1</v>
      </c>
      <c r="D30" s="12" t="inlineStr">
        <is>
          <t>CBVA women’s open</t>
        </is>
      </c>
      <c r="E30" s="12" t="inlineStr">
        <is>
          <t>Newland, Huntington Beach</t>
        </is>
      </c>
      <c r="F30" s="12" t="inlineStr">
        <is>
          <t>CA</t>
        </is>
      </c>
      <c r="G30" s="12" t="inlineStr">
        <is>
          <t>Open</t>
        </is>
      </c>
      <c r="H30" s="12" t="inlineStr">
        <is>
          <t>Women's open</t>
        </is>
      </c>
      <c r="I30" s="12" t="inlineStr"/>
      <c r="J30" s="14" t="n">
        <v>9.088000000000001</v>
      </c>
      <c r="K30" s="13" t="n">
        <v>8</v>
      </c>
      <c r="L30" s="15" t="n">
        <v>4.523809523809524</v>
      </c>
      <c r="M30" s="15" t="n">
        <v>3.047619047619047</v>
      </c>
      <c r="N30" s="16">
        <f>IFERROR(M30/L30,"")</f>
        <v/>
      </c>
      <c r="O30" s="12" t="inlineStr">
        <is>
          <t>20 Mar + 21 Mar</t>
        </is>
      </c>
      <c r="P30" s="17" t="inlineStr">
        <is>
          <t>https://cbva.com/venues/4</t>
        </is>
      </c>
    </row>
    <row r="31">
      <c r="A31" s="11" t="n">
        <v>46474</v>
      </c>
      <c r="B31" s="12" t="inlineStr">
        <is>
          <t>projected</t>
        </is>
      </c>
      <c r="C31" s="13" t="n">
        <v>1</v>
      </c>
      <c r="D31" s="12" t="inlineStr">
        <is>
          <t>CBVA women’s open</t>
        </is>
      </c>
      <c r="E31" s="12" t="inlineStr">
        <is>
          <t>Dockweiler, Los Angeles</t>
        </is>
      </c>
      <c r="F31" s="12" t="inlineStr">
        <is>
          <t>CA</t>
        </is>
      </c>
      <c r="G31" s="12" t="inlineStr">
        <is>
          <t>Open</t>
        </is>
      </c>
      <c r="H31" s="12" t="inlineStr">
        <is>
          <t>Women's open</t>
        </is>
      </c>
      <c r="I31" s="12" t="inlineStr"/>
      <c r="J31" s="14" t="n">
        <v>8.755000000000001</v>
      </c>
      <c r="K31" s="13" t="n">
        <v>2</v>
      </c>
      <c r="L31" s="15" t="n">
        <v>5.25</v>
      </c>
      <c r="M31" s="15" t="n">
        <v>0.75</v>
      </c>
      <c r="N31" s="16">
        <f>IFERROR(M31/L31,"")</f>
        <v/>
      </c>
      <c r="O31" s="12" t="inlineStr"/>
      <c r="P31" s="17" t="inlineStr">
        <is>
          <t>https://cbva.com/venues/1</t>
        </is>
      </c>
    </row>
    <row r="32">
      <c r="A32" s="11" t="n">
        <v>46480</v>
      </c>
      <c r="B32" s="12" t="inlineStr">
        <is>
          <t>posted</t>
        </is>
      </c>
      <c r="C32" s="13" t="n">
        <v>2</v>
      </c>
      <c r="D32" s="12" t="inlineStr">
        <is>
          <t>Futures Tour 2X: California</t>
        </is>
      </c>
      <c r="E32" s="12" t="inlineStr">
        <is>
          <t>North Beach, Santa Monica</t>
        </is>
      </c>
      <c r="F32" s="12" t="inlineStr">
        <is>
          <t>CA</t>
        </is>
      </c>
      <c r="G32" s="12" t="inlineStr">
        <is>
          <t>18U</t>
        </is>
      </c>
      <c r="H32" s="12" t="inlineStr">
        <is>
          <t>Junior circuit</t>
        </is>
      </c>
      <c r="I32" s="12" t="inlineStr">
        <is>
          <t>yes</t>
        </is>
      </c>
      <c r="J32" s="14" t="n"/>
      <c r="K32" s="13" t="n"/>
      <c r="L32" s="15" t="n"/>
      <c r="M32" s="15" t="n"/>
      <c r="N32" s="16">
        <f>IFERROR(M32/L32,"")</f>
        <v/>
      </c>
      <c r="O32" s="12" t="inlineStr"/>
      <c r="P32" s="17" t="inlineStr">
        <is>
          <t>https://volleyballlife.com/tournament/41882</t>
        </is>
      </c>
    </row>
    <row r="33">
      <c r="A33" s="11" t="n">
        <v>46495</v>
      </c>
      <c r="B33" s="12" t="inlineStr">
        <is>
          <t>posted</t>
        </is>
      </c>
      <c r="C33" s="13" t="n">
        <v>1</v>
      </c>
      <c r="D33" s="12" t="inlineStr">
        <is>
          <t>p1440 Hermosa Beach Circuit Championships (2X)</t>
        </is>
      </c>
      <c r="E33" s="12" t="inlineStr">
        <is>
          <t>Hermosa Beach Pier</t>
        </is>
      </c>
      <c r="F33" s="12" t="inlineStr">
        <is>
          <t>CA</t>
        </is>
      </c>
      <c r="G33" s="12" t="inlineStr">
        <is>
          <t>18U</t>
        </is>
      </c>
      <c r="H33" s="12" t="inlineStr">
        <is>
          <t>Junior circuit</t>
        </is>
      </c>
      <c r="I33" s="12" t="inlineStr"/>
      <c r="J33" s="14" t="n">
        <v>9.414</v>
      </c>
      <c r="K33" s="13" t="n">
        <v>7</v>
      </c>
      <c r="L33" s="15" t="n">
        <v>5.25</v>
      </c>
      <c r="M33" s="15" t="n">
        <v>3.25</v>
      </c>
      <c r="N33" s="16">
        <f>IFERROR(M33/L33,"")</f>
        <v/>
      </c>
      <c r="O33" s="12" t="inlineStr"/>
      <c r="P33" s="17" t="inlineStr">
        <is>
          <t>https://volleyballlife.com/tournament/41075</t>
        </is>
      </c>
    </row>
    <row r="34">
      <c r="A34" s="11" t="n">
        <v>46488</v>
      </c>
      <c r="B34" s="12" t="inlineStr">
        <is>
          <t>projected</t>
        </is>
      </c>
      <c r="C34" s="13" t="n">
        <v>1</v>
      </c>
      <c r="D34" s="12" t="inlineStr">
        <is>
          <t>CBVA women’s open</t>
        </is>
      </c>
      <c r="E34" s="12" t="inlineStr">
        <is>
          <t>Ocean Park, Santa Monica</t>
        </is>
      </c>
      <c r="F34" s="12" t="inlineStr">
        <is>
          <t>CA</t>
        </is>
      </c>
      <c r="G34" s="12" t="inlineStr">
        <is>
          <t>Open</t>
        </is>
      </c>
      <c r="H34" s="12" t="inlineStr">
        <is>
          <t>Women's open</t>
        </is>
      </c>
      <c r="I34" s="12" t="inlineStr"/>
      <c r="J34" s="14" t="n">
        <v>9.015000000000001</v>
      </c>
      <c r="K34" s="13" t="n">
        <v>6</v>
      </c>
      <c r="L34" s="15" t="n">
        <v>4.266666666666667</v>
      </c>
      <c r="M34" s="15" t="n">
        <v>2.866666666666667</v>
      </c>
      <c r="N34" s="16">
        <f>IFERROR(M34/L34,"")</f>
        <v/>
      </c>
      <c r="O34" s="12" t="inlineStr"/>
      <c r="P34" s="17" t="inlineStr">
        <is>
          <t>https://cbva.com/venues/7</t>
        </is>
      </c>
    </row>
    <row r="35">
      <c r="A35" s="11" t="n">
        <v>46501</v>
      </c>
      <c r="B35" s="12" t="inlineStr">
        <is>
          <t>projected</t>
        </is>
      </c>
      <c r="C35" s="13" t="n">
        <v>1</v>
      </c>
      <c r="D35" s="12" t="inlineStr">
        <is>
          <t>CBVA women’s open</t>
        </is>
      </c>
      <c r="E35" s="12" t="inlineStr">
        <is>
          <t>Manhattan Pier, Manhattan Beach</t>
        </is>
      </c>
      <c r="F35" s="12" t="inlineStr">
        <is>
          <t>CA</t>
        </is>
      </c>
      <c r="G35" s="12" t="inlineStr">
        <is>
          <t>Open</t>
        </is>
      </c>
      <c r="H35" s="12" t="inlineStr">
        <is>
          <t>Women's open</t>
        </is>
      </c>
      <c r="I35" s="12" t="inlineStr"/>
      <c r="J35" s="14" t="n">
        <v>8.885</v>
      </c>
      <c r="K35" s="13" t="n">
        <v>7</v>
      </c>
      <c r="L35" s="15" t="n">
        <v>3.533333333333333</v>
      </c>
      <c r="M35" s="15" t="n">
        <v>1.333333333333333</v>
      </c>
      <c r="N35" s="16">
        <f>IFERROR(M35/L35,"")</f>
        <v/>
      </c>
      <c r="O35" s="12" t="inlineStr"/>
      <c r="P35" s="17" t="inlineStr">
        <is>
          <t>https://cbva.com/venues/2</t>
        </is>
      </c>
    </row>
    <row r="36">
      <c r="A36" s="11" t="n">
        <v>46501</v>
      </c>
      <c r="B36" s="12" t="inlineStr">
        <is>
          <t>projected</t>
        </is>
      </c>
      <c r="C36" s="13" t="n">
        <v>1</v>
      </c>
      <c r="D36" s="12" t="inlineStr">
        <is>
          <t>CBVA women’s open</t>
        </is>
      </c>
      <c r="E36" s="12" t="inlineStr">
        <is>
          <t>Main Beach, Santa Cruz</t>
        </is>
      </c>
      <c r="F36" s="12" t="inlineStr">
        <is>
          <t>CA</t>
        </is>
      </c>
      <c r="G36" s="12" t="inlineStr">
        <is>
          <t>Open</t>
        </is>
      </c>
      <c r="H36" s="12" t="inlineStr">
        <is>
          <t>Women's open</t>
        </is>
      </c>
      <c r="I36" s="12" t="inlineStr"/>
      <c r="J36" s="14" t="n">
        <v>7.68</v>
      </c>
      <c r="K36" s="13" t="n">
        <v>1</v>
      </c>
      <c r="L36" s="15" t="n">
        <v>3.666666666666667</v>
      </c>
      <c r="M36" s="15" t="n">
        <v>0.6666666666666666</v>
      </c>
      <c r="N36" s="16">
        <f>IFERROR(M36/L36,"")</f>
        <v/>
      </c>
      <c r="O36" s="12" t="inlineStr"/>
      <c r="P36" s="17" t="inlineStr">
        <is>
          <t>https://cbva.com/venues/8</t>
        </is>
      </c>
    </row>
    <row r="37">
      <c r="A37" s="11" t="n">
        <v>46522</v>
      </c>
      <c r="B37" s="12" t="inlineStr">
        <is>
          <t>projected</t>
        </is>
      </c>
      <c r="C37" s="13" t="n">
        <v>1</v>
      </c>
      <c r="D37" s="12" t="inlineStr">
        <is>
          <t>CBVA women’s open</t>
        </is>
      </c>
      <c r="E37" s="12" t="inlineStr">
        <is>
          <t>Ocean Park, Santa Monica</t>
        </is>
      </c>
      <c r="F37" s="12" t="inlineStr">
        <is>
          <t>CA</t>
        </is>
      </c>
      <c r="G37" s="12" t="inlineStr">
        <is>
          <t>Open</t>
        </is>
      </c>
      <c r="H37" s="12" t="inlineStr">
        <is>
          <t>Women's open</t>
        </is>
      </c>
      <c r="I37" s="12" t="inlineStr"/>
      <c r="J37" s="14" t="n">
        <v>8.757</v>
      </c>
      <c r="K37" s="13" t="n">
        <v>3</v>
      </c>
      <c r="L37" s="15" t="n">
        <v>3.777777777777778</v>
      </c>
      <c r="M37" s="15" t="n">
        <v>2</v>
      </c>
      <c r="N37" s="16">
        <f>IFERROR(M37/L37,"")</f>
        <v/>
      </c>
      <c r="O37" s="12" t="inlineStr">
        <is>
          <t>15 May + 16 May</t>
        </is>
      </c>
      <c r="P37" s="17" t="inlineStr">
        <is>
          <t>https://cbva.com/venues/7</t>
        </is>
      </c>
    </row>
    <row r="38">
      <c r="A38" s="11" t="n">
        <v>46523</v>
      </c>
      <c r="B38" s="12" t="inlineStr">
        <is>
          <t>projected</t>
        </is>
      </c>
      <c r="C38" s="13" t="n">
        <v>1</v>
      </c>
      <c r="D38" s="12" t="inlineStr">
        <is>
          <t>CBVA women’s open</t>
        </is>
      </c>
      <c r="E38" s="12" t="inlineStr">
        <is>
          <t>Belmont Shore, Long Beach</t>
        </is>
      </c>
      <c r="F38" s="12" t="inlineStr">
        <is>
          <t>CA</t>
        </is>
      </c>
      <c r="G38" s="12" t="inlineStr">
        <is>
          <t>Open</t>
        </is>
      </c>
      <c r="H38" s="12" t="inlineStr">
        <is>
          <t>Women's open</t>
        </is>
      </c>
      <c r="I38" s="12" t="inlineStr"/>
      <c r="J38" s="14" t="n">
        <v>8.757</v>
      </c>
      <c r="K38" s="13" t="n">
        <v>4</v>
      </c>
      <c r="L38" s="15" t="n">
        <v>4.25</v>
      </c>
      <c r="M38" s="15" t="n">
        <v>1.75</v>
      </c>
      <c r="N38" s="16">
        <f>IFERROR(M38/L38,"")</f>
        <v/>
      </c>
      <c r="O38" s="12" t="inlineStr">
        <is>
          <t>15 May + 16 May</t>
        </is>
      </c>
      <c r="P38" s="17" t="inlineStr">
        <is>
          <t>https://cbva.com/venues/3</t>
        </is>
      </c>
    </row>
    <row r="39">
      <c r="A39" s="11" t="n">
        <v>46508</v>
      </c>
      <c r="B39" s="12" t="inlineStr">
        <is>
          <t>projected</t>
        </is>
      </c>
      <c r="C39" s="13" t="n">
        <v>1</v>
      </c>
      <c r="D39" s="12" t="inlineStr">
        <is>
          <t>CBVA women’s open</t>
        </is>
      </c>
      <c r="E39" s="12" t="inlineStr">
        <is>
          <t>Manhattan Pier, Manhattan Beach</t>
        </is>
      </c>
      <c r="F39" s="12" t="inlineStr">
        <is>
          <t>CA</t>
        </is>
      </c>
      <c r="G39" s="12" t="inlineStr">
        <is>
          <t>Open</t>
        </is>
      </c>
      <c r="H39" s="12" t="inlineStr">
        <is>
          <t>Women's open</t>
        </is>
      </c>
      <c r="I39" s="12" t="inlineStr"/>
      <c r="J39" s="14" t="n">
        <v>8.826000000000001</v>
      </c>
      <c r="K39" s="13" t="n">
        <v>4</v>
      </c>
      <c r="L39" s="15" t="n">
        <v>3.75</v>
      </c>
      <c r="M39" s="15" t="n">
        <v>1.25</v>
      </c>
      <c r="N39" s="16">
        <f>IFERROR(M39/L39,"")</f>
        <v/>
      </c>
      <c r="O39" s="12" t="inlineStr"/>
      <c r="P39" s="17" t="inlineStr">
        <is>
          <t>https://cbva.com/venues/2</t>
        </is>
      </c>
    </row>
    <row r="40">
      <c r="A40" s="11" t="n">
        <v>46536</v>
      </c>
      <c r="B40" s="12" t="inlineStr">
        <is>
          <t>projected</t>
        </is>
      </c>
      <c r="C40" s="13" t="n">
        <v>1</v>
      </c>
      <c r="D40" s="12" t="inlineStr">
        <is>
          <t>CBVA women’s open</t>
        </is>
      </c>
      <c r="E40" s="12" t="inlineStr">
        <is>
          <t>Ocean Beach, San Diego</t>
        </is>
      </c>
      <c r="F40" s="12" t="inlineStr">
        <is>
          <t>CA</t>
        </is>
      </c>
      <c r="G40" s="12" t="inlineStr">
        <is>
          <t>Open</t>
        </is>
      </c>
      <c r="H40" s="12" t="inlineStr">
        <is>
          <t>Women's open</t>
        </is>
      </c>
      <c r="I40" s="12" t="inlineStr"/>
      <c r="J40" s="14" t="n">
        <v>7.783</v>
      </c>
      <c r="K40" s="13" t="n">
        <v>3</v>
      </c>
      <c r="L40" s="15" t="n">
        <v>3</v>
      </c>
      <c r="M40" s="15" t="n">
        <v>1</v>
      </c>
      <c r="N40" s="16">
        <f>IFERROR(M40/L40,"")</f>
        <v/>
      </c>
      <c r="O40" s="12" t="inlineStr"/>
      <c r="P40" s="17" t="inlineStr">
        <is>
          <t>https://cbva.com/venues/13</t>
        </is>
      </c>
    </row>
    <row r="41">
      <c r="A41" s="11" t="n">
        <v>46529</v>
      </c>
      <c r="B41" s="12" t="inlineStr">
        <is>
          <t>projected</t>
        </is>
      </c>
      <c r="C41" s="13" t="n">
        <v>1</v>
      </c>
      <c r="D41" s="12" t="inlineStr">
        <is>
          <t>CBVA women’s open</t>
        </is>
      </c>
      <c r="E41" s="12" t="inlineStr">
        <is>
          <t>Hermosa Pier, Hermosa Beach</t>
        </is>
      </c>
      <c r="F41" s="12" t="inlineStr">
        <is>
          <t>CA</t>
        </is>
      </c>
      <c r="G41" s="12" t="inlineStr">
        <is>
          <t>Open</t>
        </is>
      </c>
      <c r="H41" s="12" t="inlineStr">
        <is>
          <t>Women's open</t>
        </is>
      </c>
      <c r="I41" s="12" t="inlineStr"/>
      <c r="J41" s="14" t="n">
        <v>9.109999999999999</v>
      </c>
      <c r="K41" s="13" t="n">
        <v>9</v>
      </c>
      <c r="L41" s="15" t="n">
        <v>2.714285714285714</v>
      </c>
      <c r="M41" s="15" t="n">
        <v>0.8571428571428571</v>
      </c>
      <c r="N41" s="16">
        <f>IFERROR(M41/L41,"")</f>
        <v/>
      </c>
      <c r="O41" s="12" t="inlineStr"/>
      <c r="P41" s="17" t="inlineStr">
        <is>
          <t>https://cbva.com/venues/6</t>
        </is>
      </c>
    </row>
    <row r="42">
      <c r="A42" s="11" t="n">
        <v>46529</v>
      </c>
      <c r="B42" s="12" t="inlineStr">
        <is>
          <t>projected</t>
        </is>
      </c>
      <c r="C42" s="13" t="n">
        <v>1</v>
      </c>
      <c r="D42" s="12" t="inlineStr">
        <is>
          <t>CBVA women’s open</t>
        </is>
      </c>
      <c r="E42" s="12" t="inlineStr">
        <is>
          <t>Main Beach, Santa Cruz</t>
        </is>
      </c>
      <c r="F42" s="12" t="inlineStr">
        <is>
          <t>CA</t>
        </is>
      </c>
      <c r="G42" s="12" t="inlineStr">
        <is>
          <t>Open</t>
        </is>
      </c>
      <c r="H42" s="12" t="inlineStr">
        <is>
          <t>Women's open</t>
        </is>
      </c>
      <c r="I42" s="12" t="inlineStr"/>
      <c r="J42" s="14" t="n">
        <v>7.668</v>
      </c>
      <c r="K42" s="13" t="n">
        <v>1</v>
      </c>
      <c r="L42" s="15" t="n">
        <v>4</v>
      </c>
      <c r="M42" s="15" t="n">
        <v>0</v>
      </c>
      <c r="N42" s="16">
        <f>IFERROR(M42/L42,"")</f>
        <v/>
      </c>
      <c r="O42" s="12" t="inlineStr"/>
      <c r="P42" s="17" t="inlineStr">
        <is>
          <t>https://cbva.com/venues/8</t>
        </is>
      </c>
    </row>
    <row r="43">
      <c r="A43" s="11" t="n">
        <v>46543</v>
      </c>
      <c r="B43" s="12" t="inlineStr">
        <is>
          <t>posted</t>
        </is>
      </c>
      <c r="C43" s="13" t="n">
        <v>1</v>
      </c>
      <c r="D43" s="12" t="inlineStr">
        <is>
          <t>Kauai Bikini Open</t>
        </is>
      </c>
      <c r="E43" s="12" t="inlineStr">
        <is>
          <t>North Beach, Santa Monica</t>
        </is>
      </c>
      <c r="F43" s="12" t="inlineStr">
        <is>
          <t>CA</t>
        </is>
      </c>
      <c r="G43" s="12" t="inlineStr">
        <is>
          <t>18U</t>
        </is>
      </c>
      <c r="H43" s="12" t="inlineStr">
        <is>
          <t>Junior circuit</t>
        </is>
      </c>
      <c r="I43" s="12" t="inlineStr"/>
      <c r="J43" s="14" t="n">
        <v>6.8205</v>
      </c>
      <c r="K43" s="13" t="n">
        <v>0</v>
      </c>
      <c r="L43" s="15" t="n"/>
      <c r="M43" s="15" t="n"/>
      <c r="N43" s="16">
        <f>IFERROR(M43/L43,"")</f>
        <v/>
      </c>
      <c r="O43" s="12" t="inlineStr">
        <is>
          <t>5 Jun + 6 Jun</t>
        </is>
      </c>
      <c r="P43" s="17" t="inlineStr">
        <is>
          <t>https://volleyballlife.com/tournament/41127</t>
        </is>
      </c>
    </row>
    <row r="44">
      <c r="A44" s="11" t="n">
        <v>46552</v>
      </c>
      <c r="B44" s="12" t="inlineStr">
        <is>
          <t>estimated</t>
        </is>
      </c>
      <c r="C44" s="13" t="n">
        <v>2</v>
      </c>
      <c r="D44" s="12" t="inlineStr">
        <is>
          <t>USAV U19 / U21 Worlds Trials — if the cycle runs</t>
        </is>
      </c>
      <c r="E44" s="12" t="inlineStr">
        <is>
          <t>Hermosa Beach Pier</t>
        </is>
      </c>
      <c r="F44" s="12" t="inlineStr">
        <is>
          <t>CA</t>
        </is>
      </c>
      <c r="G44" s="12" t="inlineStr">
        <is>
          <t>Open</t>
        </is>
      </c>
      <c r="H44" s="12" t="inlineStr">
        <is>
          <t>Selection</t>
        </is>
      </c>
      <c r="I44" s="12" t="inlineStr"/>
      <c r="J44" s="14" t="n"/>
      <c r="K44" s="13" t="n"/>
      <c r="L44" s="15" t="n"/>
      <c r="M44" s="15" t="n"/>
      <c r="N44" s="16">
        <f>IFERROR(M44/L44,"")</f>
        <v/>
      </c>
      <c r="O44" s="12" t="inlineStr"/>
      <c r="P44" s="17" t="inlineStr">
        <is>
          <t>https://usavolleyball.org/events/</t>
        </is>
      </c>
    </row>
    <row r="45">
      <c r="A45" s="11" t="n">
        <v>46566</v>
      </c>
      <c r="B45" s="12" t="inlineStr">
        <is>
          <t>estimated</t>
        </is>
      </c>
      <c r="C45" s="13" t="n">
        <v>2</v>
      </c>
      <c r="D45" s="12" t="inlineStr">
        <is>
          <t>BVCA Pairs West Coast Championships</t>
        </is>
      </c>
      <c r="E45" s="12" t="inlineStr">
        <is>
          <t>Newland, Huntington Beach</t>
        </is>
      </c>
      <c r="F45" s="12" t="inlineStr">
        <is>
          <t>CA</t>
        </is>
      </c>
      <c r="G45" s="12" t="inlineStr">
        <is>
          <t>18U</t>
        </is>
      </c>
      <c r="H45" s="12" t="inlineStr">
        <is>
          <t>Junior circuit</t>
        </is>
      </c>
      <c r="I45" s="12" t="inlineStr"/>
      <c r="J45" s="14" t="n">
        <v>8.1805</v>
      </c>
      <c r="K45" s="13" t="n">
        <v>1</v>
      </c>
      <c r="L45" s="15" t="n">
        <v>17.4</v>
      </c>
      <c r="M45" s="15" t="n">
        <v>8.4</v>
      </c>
      <c r="N45" s="16">
        <f>IFERROR(M45/L45,"")</f>
        <v/>
      </c>
      <c r="O45" s="12" t="inlineStr"/>
      <c r="P45" s="17" t="inlineStr">
        <is>
          <t>https://volleyballlife.com/tournament/35588</t>
        </is>
      </c>
    </row>
    <row r="46">
      <c r="A46" s="11" t="n">
        <v>46566</v>
      </c>
      <c r="B46" s="12" t="inlineStr">
        <is>
          <t>estimated</t>
        </is>
      </c>
      <c r="C46" s="13" t="n">
        <v>2</v>
      </c>
      <c r="D46" s="12" t="inlineStr">
        <is>
          <t>BVCA Pairs West Coast Championships</t>
        </is>
      </c>
      <c r="E46" s="12" t="inlineStr">
        <is>
          <t>Newland, Huntington Beach</t>
        </is>
      </c>
      <c r="F46" s="12" t="inlineStr">
        <is>
          <t>CA</t>
        </is>
      </c>
      <c r="G46" s="12" t="inlineStr">
        <is>
          <t>17U</t>
        </is>
      </c>
      <c r="H46" s="12" t="inlineStr">
        <is>
          <t>Junior circuit</t>
        </is>
      </c>
      <c r="I46" s="12" t="inlineStr">
        <is>
          <t>yes</t>
        </is>
      </c>
      <c r="J46" s="14" t="n">
        <v>7.398</v>
      </c>
      <c r="K46" s="13" t="n">
        <v>0</v>
      </c>
      <c r="L46" s="15" t="n"/>
      <c r="M46" s="15" t="n"/>
      <c r="N46" s="16">
        <f>IFERROR(M46/L46,"")</f>
        <v/>
      </c>
      <c r="O46" s="12" t="inlineStr"/>
      <c r="P46" s="17" t="inlineStr">
        <is>
          <t>https://volleyballlife.com/tournament/35588</t>
        </is>
      </c>
    </row>
    <row r="47">
      <c r="A47" s="11" t="n">
        <v>46566</v>
      </c>
      <c r="B47" s="12" t="inlineStr">
        <is>
          <t>posted</t>
        </is>
      </c>
      <c r="C47" s="13" t="n">
        <v>2</v>
      </c>
      <c r="D47" s="12" t="inlineStr">
        <is>
          <t>2027 Futures Tour National Championships</t>
        </is>
      </c>
      <c r="E47" s="12" t="inlineStr">
        <is>
          <t>Southern California</t>
        </is>
      </c>
      <c r="F47" s="12" t="inlineStr">
        <is>
          <t>CA</t>
        </is>
      </c>
      <c r="G47" s="12" t="inlineStr">
        <is>
          <t>18U</t>
        </is>
      </c>
      <c r="H47" s="12" t="inlineStr">
        <is>
          <t>National junior</t>
        </is>
      </c>
      <c r="I47" s="12" t="inlineStr">
        <is>
          <t>yes</t>
        </is>
      </c>
      <c r="J47" s="14" t="n">
        <v>8.694500000000001</v>
      </c>
      <c r="K47" s="13" t="n">
        <v>6</v>
      </c>
      <c r="L47" s="15" t="n">
        <v>15.42857142857143</v>
      </c>
      <c r="M47" s="15" t="n">
        <v>8.142857142857142</v>
      </c>
      <c r="N47" s="16">
        <f>IFERROR(M47/L47,"")</f>
        <v/>
      </c>
      <c r="O47" s="12" t="inlineStr"/>
      <c r="P47" s="17" t="inlineStr">
        <is>
          <t>https://volleyballlife.com/tournament/39825</t>
        </is>
      </c>
    </row>
    <row r="48">
      <c r="A48" s="11" t="n">
        <v>46544</v>
      </c>
      <c r="B48" s="12" t="inlineStr">
        <is>
          <t>projected</t>
        </is>
      </c>
      <c r="C48" s="13" t="n">
        <v>1</v>
      </c>
      <c r="D48" s="12" t="inlineStr">
        <is>
          <t>CBVA women’s open</t>
        </is>
      </c>
      <c r="E48" s="12" t="inlineStr">
        <is>
          <t>Dockweiler, Los Angeles</t>
        </is>
      </c>
      <c r="F48" s="12" t="inlineStr">
        <is>
          <t>CA</t>
        </is>
      </c>
      <c r="G48" s="12" t="inlineStr">
        <is>
          <t>Open</t>
        </is>
      </c>
      <c r="H48" s="12" t="inlineStr">
        <is>
          <t>Women's open</t>
        </is>
      </c>
      <c r="I48" s="12" t="inlineStr"/>
      <c r="J48" s="14" t="n">
        <v>8.880000000000001</v>
      </c>
      <c r="K48" s="13" t="n">
        <v>6</v>
      </c>
      <c r="L48" s="15" t="n">
        <v>4.428571428571429</v>
      </c>
      <c r="M48" s="15" t="n">
        <v>2.714285714285714</v>
      </c>
      <c r="N48" s="16">
        <f>IFERROR(M48/L48,"")</f>
        <v/>
      </c>
      <c r="O48" s="12" t="inlineStr">
        <is>
          <t>5 Jun + 6 Jun</t>
        </is>
      </c>
      <c r="P48" s="17" t="inlineStr">
        <is>
          <t>https://cbva.com/venues/1</t>
        </is>
      </c>
    </row>
    <row r="49">
      <c r="A49" s="11" t="n">
        <v>46550</v>
      </c>
      <c r="B49" s="12" t="inlineStr">
        <is>
          <t>projected</t>
        </is>
      </c>
      <c r="C49" s="13" t="n">
        <v>1</v>
      </c>
      <c r="D49" s="12" t="inlineStr">
        <is>
          <t>CBVA women’s open</t>
        </is>
      </c>
      <c r="E49" s="12" t="inlineStr">
        <is>
          <t>Mission Beach, San Diego</t>
        </is>
      </c>
      <c r="F49" s="12" t="inlineStr">
        <is>
          <t>CA</t>
        </is>
      </c>
      <c r="G49" s="12" t="inlineStr">
        <is>
          <t>Open</t>
        </is>
      </c>
      <c r="H49" s="12" t="inlineStr">
        <is>
          <t>Women's open</t>
        </is>
      </c>
      <c r="I49" s="12" t="inlineStr"/>
      <c r="J49" s="14" t="n">
        <v>7.92</v>
      </c>
      <c r="K49" s="13" t="n">
        <v>3</v>
      </c>
      <c r="L49" s="15" t="n">
        <v>4.5</v>
      </c>
      <c r="M49" s="15" t="n">
        <v>2.333333333333333</v>
      </c>
      <c r="N49" s="16">
        <f>IFERROR(M49/L49,"")</f>
        <v/>
      </c>
      <c r="O49" s="12" t="inlineStr"/>
      <c r="P49" s="17" t="inlineStr">
        <is>
          <t>https://cbva.com/venues/15</t>
        </is>
      </c>
    </row>
    <row r="50">
      <c r="A50" s="11" t="n">
        <v>46565</v>
      </c>
      <c r="B50" s="12" t="inlineStr">
        <is>
          <t>projected</t>
        </is>
      </c>
      <c r="C50" s="13" t="n">
        <v>1</v>
      </c>
      <c r="D50" s="12" t="inlineStr">
        <is>
          <t>CBVA women’s open</t>
        </is>
      </c>
      <c r="E50" s="12" t="inlineStr">
        <is>
          <t>Santa Monica Pier, Santa Monica</t>
        </is>
      </c>
      <c r="F50" s="12" t="inlineStr">
        <is>
          <t>CA</t>
        </is>
      </c>
      <c r="G50" s="12" t="inlineStr">
        <is>
          <t>Open</t>
        </is>
      </c>
      <c r="H50" s="12" t="inlineStr">
        <is>
          <t>Women's open</t>
        </is>
      </c>
      <c r="I50" s="12" t="inlineStr"/>
      <c r="J50" s="14" t="n">
        <v>9.332000000000001</v>
      </c>
      <c r="K50" s="13" t="n">
        <v>22</v>
      </c>
      <c r="L50" s="15" t="n">
        <v>3.935483870967742</v>
      </c>
      <c r="M50" s="15" t="n">
        <v>2.258064516129032</v>
      </c>
      <c r="N50" s="16">
        <f>IFERROR(M50/L50,"")</f>
        <v/>
      </c>
      <c r="O50" s="12" t="inlineStr"/>
      <c r="P50" s="17" t="inlineStr">
        <is>
          <t>https://cbva.com/venues/17</t>
        </is>
      </c>
    </row>
    <row r="51">
      <c r="A51" s="11" t="n">
        <v>46550</v>
      </c>
      <c r="B51" s="12" t="inlineStr">
        <is>
          <t>projected</t>
        </is>
      </c>
      <c r="C51" s="13" t="n">
        <v>1</v>
      </c>
      <c r="D51" s="12" t="inlineStr">
        <is>
          <t>CBVA women’s open</t>
        </is>
      </c>
      <c r="E51" s="12" t="inlineStr">
        <is>
          <t>Manhattan Pier, Manhattan Beach</t>
        </is>
      </c>
      <c r="F51" s="12" t="inlineStr">
        <is>
          <t>CA</t>
        </is>
      </c>
      <c r="G51" s="12" t="inlineStr">
        <is>
          <t>Open</t>
        </is>
      </c>
      <c r="H51" s="12" t="inlineStr">
        <is>
          <t>Women's open</t>
        </is>
      </c>
      <c r="I51" s="12" t="inlineStr"/>
      <c r="J51" s="14" t="n">
        <v>9.210000000000001</v>
      </c>
      <c r="K51" s="13" t="n">
        <v>13</v>
      </c>
      <c r="L51" s="15" t="n">
        <v>3.611111111111111</v>
      </c>
      <c r="M51" s="15" t="n">
        <v>2</v>
      </c>
      <c r="N51" s="16">
        <f>IFERROR(M51/L51,"")</f>
        <v/>
      </c>
      <c r="O51" s="12" t="inlineStr"/>
      <c r="P51" s="17" t="inlineStr">
        <is>
          <t>https://cbva.com/venues/2</t>
        </is>
      </c>
    </row>
    <row r="52">
      <c r="A52" s="11" t="n">
        <v>46544</v>
      </c>
      <c r="B52" s="12" t="inlineStr">
        <is>
          <t>projected</t>
        </is>
      </c>
      <c r="C52" s="13" t="n">
        <v>1</v>
      </c>
      <c r="D52" s="12" t="inlineStr">
        <is>
          <t>CBVA women’s open</t>
        </is>
      </c>
      <c r="E52" s="12" t="inlineStr">
        <is>
          <t>Ocean Park, Santa Monica</t>
        </is>
      </c>
      <c r="F52" s="12" t="inlineStr">
        <is>
          <t>CA</t>
        </is>
      </c>
      <c r="G52" s="12" t="inlineStr">
        <is>
          <t>Open</t>
        </is>
      </c>
      <c r="H52" s="12" t="inlineStr">
        <is>
          <t>Women's open</t>
        </is>
      </c>
      <c r="I52" s="12" t="inlineStr"/>
      <c r="J52" s="14" t="n">
        <v>8.798999999999999</v>
      </c>
      <c r="K52" s="13" t="n">
        <v>7</v>
      </c>
      <c r="L52" s="15" t="n">
        <v>4.375</v>
      </c>
      <c r="M52" s="15" t="n">
        <v>1.75</v>
      </c>
      <c r="N52" s="16">
        <f>IFERROR(M52/L52,"")</f>
        <v/>
      </c>
      <c r="O52" s="12" t="inlineStr">
        <is>
          <t>5 Jun + 6 Jun</t>
        </is>
      </c>
      <c r="P52" s="17" t="inlineStr">
        <is>
          <t>https://cbva.com/venues/7</t>
        </is>
      </c>
    </row>
    <row r="53">
      <c r="A53" s="11" t="n">
        <v>46557</v>
      </c>
      <c r="B53" s="12" t="inlineStr">
        <is>
          <t>projected</t>
        </is>
      </c>
      <c r="C53" s="13" t="n">
        <v>1</v>
      </c>
      <c r="D53" s="12" t="inlineStr">
        <is>
          <t>CBVA women’s open</t>
        </is>
      </c>
      <c r="E53" s="12" t="inlineStr">
        <is>
          <t>Main Beach, Santa Cruz</t>
        </is>
      </c>
      <c r="F53" s="12" t="inlineStr">
        <is>
          <t>CA</t>
        </is>
      </c>
      <c r="G53" s="12" t="inlineStr">
        <is>
          <t>Open</t>
        </is>
      </c>
      <c r="H53" s="12" t="inlineStr">
        <is>
          <t>Women's open</t>
        </is>
      </c>
      <c r="I53" s="12" t="inlineStr"/>
      <c r="J53" s="14" t="n">
        <v>7.668</v>
      </c>
      <c r="K53" s="13" t="n">
        <v>3</v>
      </c>
      <c r="L53" s="15" t="n">
        <v>5.833333333333333</v>
      </c>
      <c r="M53" s="15" t="n">
        <v>0.8333333333333334</v>
      </c>
      <c r="N53" s="16">
        <f>IFERROR(M53/L53,"")</f>
        <v/>
      </c>
      <c r="O53" s="12" t="inlineStr"/>
      <c r="P53" s="17" t="inlineStr">
        <is>
          <t>https://cbva.com/venues/8</t>
        </is>
      </c>
    </row>
    <row r="54">
      <c r="A54" s="11" t="n">
        <v>46574</v>
      </c>
      <c r="B54" s="12" t="inlineStr">
        <is>
          <t>estimated</t>
        </is>
      </c>
      <c r="C54" s="13" t="n">
        <v>3</v>
      </c>
      <c r="D54" s="12" t="inlineStr">
        <is>
          <t>BVCA Individual Pairs National Championship</t>
        </is>
      </c>
      <c r="E54" s="12" t="inlineStr">
        <is>
          <t>Hermosa Beach</t>
        </is>
      </c>
      <c r="F54" s="12" t="inlineStr">
        <is>
          <t>CA</t>
        </is>
      </c>
      <c r="G54" s="12" t="inlineStr">
        <is>
          <t>18U</t>
        </is>
      </c>
      <c r="H54" s="12" t="inlineStr">
        <is>
          <t>National junior</t>
        </is>
      </c>
      <c r="I54" s="12" t="inlineStr"/>
      <c r="J54" s="14" t="n">
        <v>7.49</v>
      </c>
      <c r="K54" s="13" t="n">
        <v>14</v>
      </c>
      <c r="L54" s="15" t="n">
        <v>17.69230769230769</v>
      </c>
      <c r="M54" s="15" t="n">
        <v>5.461538461538462</v>
      </c>
      <c r="N54" s="16">
        <f>IFERROR(M54/L54,"")</f>
        <v/>
      </c>
      <c r="O54" s="12" t="inlineStr"/>
      <c r="P54" s="17" t="inlineStr">
        <is>
          <t>https://volleyballlife.com/tournament/38087</t>
        </is>
      </c>
    </row>
    <row r="55">
      <c r="A55" s="11" t="n">
        <v>46582</v>
      </c>
      <c r="B55" s="12" t="inlineStr">
        <is>
          <t>posted</t>
        </is>
      </c>
      <c r="C55" s="13" t="n">
        <v>3</v>
      </c>
      <c r="D55" s="12" t="inlineStr">
        <is>
          <t>34th AAU Hermosa Beach National Pairs Championships</t>
        </is>
      </c>
      <c r="E55" s="12" t="inlineStr">
        <is>
          <t>Hermosa Beach Pier</t>
        </is>
      </c>
      <c r="F55" s="12" t="inlineStr">
        <is>
          <t>CA</t>
        </is>
      </c>
      <c r="G55" s="12" t="inlineStr">
        <is>
          <t>18U</t>
        </is>
      </c>
      <c r="H55" s="12" t="inlineStr">
        <is>
          <t>National junior</t>
        </is>
      </c>
      <c r="I55" s="12" t="inlineStr"/>
      <c r="J55" s="14" t="n">
        <v>8.285</v>
      </c>
      <c r="K55" s="13" t="n">
        <v>7</v>
      </c>
      <c r="L55" s="15" t="n">
        <v>19.4</v>
      </c>
      <c r="M55" s="15" t="n">
        <v>7.4</v>
      </c>
      <c r="N55" s="16">
        <f>IFERROR(M55/L55,"")</f>
        <v/>
      </c>
      <c r="O55" s="12" t="inlineStr"/>
      <c r="P55" s="17" t="inlineStr">
        <is>
          <t>https://volleyballlife.com/tournament/40248</t>
        </is>
      </c>
    </row>
    <row r="56">
      <c r="A56" s="11" t="n">
        <v>46582</v>
      </c>
      <c r="B56" s="12" t="inlineStr">
        <is>
          <t>posted</t>
        </is>
      </c>
      <c r="C56" s="13" t="n">
        <v>3</v>
      </c>
      <c r="D56" s="12" t="inlineStr">
        <is>
          <t>34th AAU Hermosa Beach National Pairs Championships</t>
        </is>
      </c>
      <c r="E56" s="12" t="inlineStr">
        <is>
          <t>Hermosa Beach Pier</t>
        </is>
      </c>
      <c r="F56" s="12" t="inlineStr">
        <is>
          <t>CA</t>
        </is>
      </c>
      <c r="G56" s="12" t="inlineStr">
        <is>
          <t>17U</t>
        </is>
      </c>
      <c r="H56" s="12" t="inlineStr">
        <is>
          <t>National junior</t>
        </is>
      </c>
      <c r="I56" s="12" t="inlineStr">
        <is>
          <t>yes</t>
        </is>
      </c>
      <c r="J56" s="14" t="n">
        <v>7.0825</v>
      </c>
      <c r="K56" s="13" t="n">
        <v>0</v>
      </c>
      <c r="L56" s="15" t="n">
        <v>19.66666666666667</v>
      </c>
      <c r="M56" s="15" t="n">
        <v>5</v>
      </c>
      <c r="N56" s="16">
        <f>IFERROR(M56/L56,"")</f>
        <v/>
      </c>
      <c r="O56" s="12" t="inlineStr"/>
      <c r="P56" s="17" t="inlineStr">
        <is>
          <t>https://volleyballlife.com/tournament/40248</t>
        </is>
      </c>
    </row>
    <row r="57">
      <c r="A57" s="11" t="n">
        <v>46589</v>
      </c>
      <c r="B57" s="12" t="inlineStr">
        <is>
          <t>estimated</t>
        </is>
      </c>
      <c r="C57" s="13" t="n">
        <v>3</v>
      </c>
      <c r="D57" s="12" t="inlineStr">
        <is>
          <t>AVP Juniors National Championships</t>
        </is>
      </c>
      <c r="E57" s="12" t="inlineStr">
        <is>
          <t>Hermosa Beach Pier</t>
        </is>
      </c>
      <c r="F57" s="12" t="inlineStr">
        <is>
          <t>CA</t>
        </is>
      </c>
      <c r="G57" s="12" t="inlineStr">
        <is>
          <t>18U</t>
        </is>
      </c>
      <c r="H57" s="12" t="inlineStr">
        <is>
          <t>National junior</t>
        </is>
      </c>
      <c r="I57" s="12" t="inlineStr"/>
      <c r="J57" s="14" t="n">
        <v>8.503499999999999</v>
      </c>
      <c r="K57" s="13" t="n">
        <v>18</v>
      </c>
      <c r="L57" s="15" t="n">
        <v>24.27272727272727</v>
      </c>
      <c r="M57" s="15" t="n">
        <v>13.09090909090909</v>
      </c>
      <c r="N57" s="16">
        <f>IFERROR(M57/L57,"")</f>
        <v/>
      </c>
      <c r="O57" s="12" t="inlineStr"/>
      <c r="P57" s="17" t="inlineStr">
        <is>
          <t>https://volleyballlife.com/tournament/34243</t>
        </is>
      </c>
    </row>
    <row r="58">
      <c r="A58" s="11" t="n">
        <v>46589</v>
      </c>
      <c r="B58" s="12" t="inlineStr">
        <is>
          <t>estimated</t>
        </is>
      </c>
      <c r="C58" s="13" t="n">
        <v>3</v>
      </c>
      <c r="D58" s="12" t="inlineStr">
        <is>
          <t>AVP Juniors National Championships</t>
        </is>
      </c>
      <c r="E58" s="12" t="inlineStr">
        <is>
          <t>Hermosa Beach Pier</t>
        </is>
      </c>
      <c r="F58" s="12" t="inlineStr">
        <is>
          <t>CA</t>
        </is>
      </c>
      <c r="G58" s="12" t="inlineStr">
        <is>
          <t>17U</t>
        </is>
      </c>
      <c r="H58" s="12" t="inlineStr">
        <is>
          <t>National junior</t>
        </is>
      </c>
      <c r="I58" s="12" t="inlineStr">
        <is>
          <t>yes</t>
        </is>
      </c>
      <c r="J58" s="14" t="n">
        <v>7.146000000000001</v>
      </c>
      <c r="K58" s="13" t="n">
        <v>3</v>
      </c>
      <c r="L58" s="15" t="n">
        <v>22.5</v>
      </c>
      <c r="M58" s="15" t="n">
        <v>7.5</v>
      </c>
      <c r="N58" s="16">
        <f>IFERROR(M58/L58,"")</f>
        <v/>
      </c>
      <c r="O58" s="12" t="inlineStr"/>
      <c r="P58" s="17" t="inlineStr">
        <is>
          <t>https://volleyballlife.com/tournament/34243</t>
        </is>
      </c>
    </row>
    <row r="59">
      <c r="A59" s="11" t="n">
        <v>46592</v>
      </c>
      <c r="B59" s="12" t="inlineStr">
        <is>
          <t>estimated</t>
        </is>
      </c>
      <c r="C59" s="13" t="n">
        <v>1</v>
      </c>
      <c r="D59" s="12" t="inlineStr">
        <is>
          <t>Tahoe Championships — grass, separate rating</t>
        </is>
      </c>
      <c r="E59" s="12" t="inlineStr">
        <is>
          <t>Kahle Park, South Lake Tahoe</t>
        </is>
      </c>
      <c r="F59" s="12" t="inlineStr">
        <is>
          <t>NV</t>
        </is>
      </c>
      <c r="G59" s="12" t="inlineStr">
        <is>
          <t>Open</t>
        </is>
      </c>
      <c r="H59" s="12" t="inlineStr">
        <is>
          <t>Grass</t>
        </is>
      </c>
      <c r="I59" s="12" t="inlineStr"/>
      <c r="J59" s="14" t="n">
        <v>7.509</v>
      </c>
      <c r="K59" s="13" t="n">
        <v>1</v>
      </c>
      <c r="L59" s="15" t="n">
        <v>3</v>
      </c>
      <c r="M59" s="15" t="n">
        <v>0</v>
      </c>
      <c r="N59" s="16">
        <f>IFERROR(M59/L59,"")</f>
        <v/>
      </c>
      <c r="O59" s="12" t="inlineStr"/>
      <c r="P59" s="17" t="inlineStr">
        <is>
          <t>https://volleyballlife.com/tournament/30456</t>
        </is>
      </c>
    </row>
    <row r="60">
      <c r="A60" s="11" t="n">
        <v>46592</v>
      </c>
      <c r="B60" s="12" t="inlineStr">
        <is>
          <t>projected</t>
        </is>
      </c>
      <c r="C60" s="13" t="n">
        <v>1</v>
      </c>
      <c r="D60" s="12" t="inlineStr">
        <is>
          <t>CBVA women’s open</t>
        </is>
      </c>
      <c r="E60" s="12" t="inlineStr">
        <is>
          <t>Manhattan Pier, Manhattan Beach</t>
        </is>
      </c>
      <c r="F60" s="12" t="inlineStr">
        <is>
          <t>CA</t>
        </is>
      </c>
      <c r="G60" s="12" t="inlineStr">
        <is>
          <t>Open</t>
        </is>
      </c>
      <c r="H60" s="12" t="inlineStr">
        <is>
          <t>Women's open</t>
        </is>
      </c>
      <c r="I60" s="12" t="inlineStr"/>
      <c r="J60" s="14" t="n">
        <v>9.1815</v>
      </c>
      <c r="K60" s="13" t="n">
        <v>20</v>
      </c>
      <c r="L60" s="15" t="n">
        <v>5.52</v>
      </c>
      <c r="M60" s="15" t="n">
        <v>3.16</v>
      </c>
      <c r="N60" s="16">
        <f>IFERROR(M60/L60,"")</f>
        <v/>
      </c>
      <c r="O60" s="12" t="inlineStr"/>
      <c r="P60" s="17" t="inlineStr">
        <is>
          <t>https://cbva.com/venues/2</t>
        </is>
      </c>
    </row>
    <row r="61">
      <c r="A61" s="11" t="n">
        <v>46579</v>
      </c>
      <c r="B61" s="12" t="inlineStr">
        <is>
          <t>projected</t>
        </is>
      </c>
      <c r="C61" s="13" t="n">
        <v>1</v>
      </c>
      <c r="D61" s="12" t="inlineStr">
        <is>
          <t>CBVA women’s open</t>
        </is>
      </c>
      <c r="E61" s="12" t="inlineStr">
        <is>
          <t>Beach Blvd, Huntington Beach</t>
        </is>
      </c>
      <c r="F61" s="12" t="inlineStr">
        <is>
          <t>CA</t>
        </is>
      </c>
      <c r="G61" s="12" t="inlineStr">
        <is>
          <t>Open</t>
        </is>
      </c>
      <c r="H61" s="12" t="inlineStr">
        <is>
          <t>Women's open</t>
        </is>
      </c>
      <c r="I61" s="12" t="inlineStr"/>
      <c r="J61" s="14" t="n">
        <v>8.887</v>
      </c>
      <c r="K61" s="13" t="n">
        <v>15</v>
      </c>
      <c r="L61" s="15" t="n">
        <v>5.133333333333334</v>
      </c>
      <c r="M61" s="15" t="n">
        <v>2.4</v>
      </c>
      <c r="N61" s="16">
        <f>IFERROR(M61/L61,"")</f>
        <v/>
      </c>
      <c r="O61" s="12" t="inlineStr"/>
      <c r="P61" s="17" t="inlineStr">
        <is>
          <t>https://cbva.com/venues/21</t>
        </is>
      </c>
    </row>
    <row r="62">
      <c r="A62" s="11" t="n">
        <v>46586</v>
      </c>
      <c r="B62" s="12" t="inlineStr">
        <is>
          <t>projected</t>
        </is>
      </c>
      <c r="C62" s="13" t="n">
        <v>1</v>
      </c>
      <c r="D62" s="12" t="inlineStr">
        <is>
          <t>CBVA women’s open</t>
        </is>
      </c>
      <c r="E62" s="12" t="inlineStr">
        <is>
          <t>Ocean Park, Santa Monica</t>
        </is>
      </c>
      <c r="F62" s="12" t="inlineStr">
        <is>
          <t>CA</t>
        </is>
      </c>
      <c r="G62" s="12" t="inlineStr">
        <is>
          <t>Open</t>
        </is>
      </c>
      <c r="H62" s="12" t="inlineStr">
        <is>
          <t>Women's open</t>
        </is>
      </c>
      <c r="I62" s="12" t="inlineStr"/>
      <c r="J62" s="14" t="n">
        <v>9.269</v>
      </c>
      <c r="K62" s="13" t="n">
        <v>11</v>
      </c>
      <c r="L62" s="15" t="n">
        <v>4</v>
      </c>
      <c r="M62" s="15" t="n">
        <v>1.958333333333333</v>
      </c>
      <c r="N62" s="16">
        <f>IFERROR(M62/L62,"")</f>
        <v/>
      </c>
      <c r="O62" s="12" t="inlineStr"/>
      <c r="P62" s="17" t="inlineStr">
        <is>
          <t>https://cbva.com/venues/7</t>
        </is>
      </c>
    </row>
    <row r="63">
      <c r="A63" s="11" t="n">
        <v>46579</v>
      </c>
      <c r="B63" s="12" t="inlineStr">
        <is>
          <t>projected</t>
        </is>
      </c>
      <c r="C63" s="13" t="n">
        <v>1</v>
      </c>
      <c r="D63" s="12" t="inlineStr">
        <is>
          <t>CBVA women’s open</t>
        </is>
      </c>
      <c r="E63" s="12" t="inlineStr">
        <is>
          <t>East Beach, Santa Barbara</t>
        </is>
      </c>
      <c r="F63" s="12" t="inlineStr">
        <is>
          <t>CA</t>
        </is>
      </c>
      <c r="G63" s="12" t="inlineStr">
        <is>
          <t>Open</t>
        </is>
      </c>
      <c r="H63" s="12" t="inlineStr">
        <is>
          <t>Women's open</t>
        </is>
      </c>
      <c r="I63" s="12" t="inlineStr"/>
      <c r="J63" s="14" t="n">
        <v>8.298</v>
      </c>
      <c r="K63" s="13" t="n">
        <v>9</v>
      </c>
      <c r="L63" s="15" t="n">
        <v>4.555555555555555</v>
      </c>
      <c r="M63" s="15" t="n">
        <v>1.333333333333333</v>
      </c>
      <c r="N63" s="16">
        <f>IFERROR(M63/L63,"")</f>
        <v/>
      </c>
      <c r="O63" s="12" t="inlineStr"/>
      <c r="P63" s="17" t="inlineStr">
        <is>
          <t>https://cbva.com/venues/18</t>
        </is>
      </c>
    </row>
    <row r="64">
      <c r="A64" s="11" t="n">
        <v>46585</v>
      </c>
      <c r="B64" s="12" t="inlineStr">
        <is>
          <t>projected</t>
        </is>
      </c>
      <c r="C64" s="13" t="n">
        <v>1</v>
      </c>
      <c r="D64" s="12" t="inlineStr">
        <is>
          <t>CBVA women’s open</t>
        </is>
      </c>
      <c r="E64" s="12" t="inlineStr">
        <is>
          <t>Main Beach, Santa Cruz</t>
        </is>
      </c>
      <c r="F64" s="12" t="inlineStr">
        <is>
          <t>CA</t>
        </is>
      </c>
      <c r="G64" s="12" t="inlineStr">
        <is>
          <t>Open</t>
        </is>
      </c>
      <c r="H64" s="12" t="inlineStr">
        <is>
          <t>Women's open</t>
        </is>
      </c>
      <c r="I64" s="12" t="inlineStr"/>
      <c r="J64" s="14" t="n">
        <v>7.8485</v>
      </c>
      <c r="K64" s="13" t="n">
        <v>3</v>
      </c>
      <c r="L64" s="15" t="n">
        <v>6</v>
      </c>
      <c r="M64" s="15" t="n">
        <v>1</v>
      </c>
      <c r="N64" s="16">
        <f>IFERROR(M64/L64,"")</f>
        <v/>
      </c>
      <c r="O64" s="12" t="inlineStr"/>
      <c r="P64" s="17" t="inlineStr">
        <is>
          <t>https://cbva.com/venues/8</t>
        </is>
      </c>
    </row>
    <row r="65">
      <c r="A65" s="11" t="n">
        <v>46621</v>
      </c>
      <c r="B65" s="12" t="inlineStr">
        <is>
          <t>estimated</t>
        </is>
      </c>
      <c r="C65" s="13" t="n">
        <v>2</v>
      </c>
      <c r="D65" s="12" t="inlineStr">
        <is>
          <t>Super Girl Pro Invitational</t>
        </is>
      </c>
      <c r="E65" s="12" t="inlineStr">
        <is>
          <t>Oceanside Pier</t>
        </is>
      </c>
      <c r="F65" s="12" t="inlineStr">
        <is>
          <t>CA</t>
        </is>
      </c>
      <c r="G65" s="12" t="inlineStr">
        <is>
          <t>18U</t>
        </is>
      </c>
      <c r="H65" s="12" t="inlineStr">
        <is>
          <t>Junior circuit</t>
        </is>
      </c>
      <c r="I65" s="12" t="inlineStr"/>
      <c r="J65" s="14" t="n">
        <v>7.351</v>
      </c>
      <c r="K65" s="13" t="n">
        <v>0</v>
      </c>
      <c r="L65" s="15" t="n"/>
      <c r="M65" s="15" t="n"/>
      <c r="N65" s="16">
        <f>IFERROR(M65/L65,"")</f>
        <v/>
      </c>
      <c r="O65" s="12" t="inlineStr"/>
      <c r="P65" s="17" t="inlineStr">
        <is>
          <t>https://volleyballlife.com/tournament/40465</t>
        </is>
      </c>
    </row>
    <row r="66">
      <c r="A66" s="11" t="n">
        <v>46607</v>
      </c>
      <c r="B66" s="12" t="inlineStr">
        <is>
          <t>projected</t>
        </is>
      </c>
      <c r="C66" s="13" t="n">
        <v>1</v>
      </c>
      <c r="D66" s="12" t="inlineStr">
        <is>
          <t>CBVA women’s open</t>
        </is>
      </c>
      <c r="E66" s="12" t="inlineStr">
        <is>
          <t>Ocean Park, Santa Monica</t>
        </is>
      </c>
      <c r="F66" s="12" t="inlineStr">
        <is>
          <t>CA</t>
        </is>
      </c>
      <c r="G66" s="12" t="inlineStr">
        <is>
          <t>Open</t>
        </is>
      </c>
      <c r="H66" s="12" t="inlineStr">
        <is>
          <t>Women's open</t>
        </is>
      </c>
      <c r="I66" s="12" t="inlineStr"/>
      <c r="J66" s="14" t="n">
        <v>9.487</v>
      </c>
      <c r="K66" s="13" t="n">
        <v>16</v>
      </c>
      <c r="L66" s="15" t="n">
        <v>3.586206896551724</v>
      </c>
      <c r="M66" s="15" t="n">
        <v>1.96551724137931</v>
      </c>
      <c r="N66" s="16">
        <f>IFERROR(M66/L66,"")</f>
        <v/>
      </c>
      <c r="O66" s="12" t="inlineStr"/>
      <c r="P66" s="17" t="inlineStr">
        <is>
          <t>https://cbva.com/venues/7</t>
        </is>
      </c>
    </row>
    <row r="67">
      <c r="A67" s="11" t="n">
        <v>46614</v>
      </c>
      <c r="B67" s="12" t="inlineStr">
        <is>
          <t>projected</t>
        </is>
      </c>
      <c r="C67" s="13" t="n">
        <v>1</v>
      </c>
      <c r="D67" s="12" t="inlineStr">
        <is>
          <t>CBVA women’s open</t>
        </is>
      </c>
      <c r="E67" s="12" t="inlineStr">
        <is>
          <t>Hermosa Pier, Hermosa Beach</t>
        </is>
      </c>
      <c r="F67" s="12" t="inlineStr">
        <is>
          <t>CA</t>
        </is>
      </c>
      <c r="G67" s="12" t="inlineStr">
        <is>
          <t>Open</t>
        </is>
      </c>
      <c r="H67" s="12" t="inlineStr">
        <is>
          <t>Women's open</t>
        </is>
      </c>
      <c r="I67" s="12" t="inlineStr"/>
      <c r="J67" s="14" t="n">
        <v>9.536</v>
      </c>
      <c r="K67" s="13" t="n">
        <v>25</v>
      </c>
      <c r="L67" s="15" t="n">
        <v>4.025</v>
      </c>
      <c r="M67" s="15" t="n">
        <v>1.925</v>
      </c>
      <c r="N67" s="16">
        <f>IFERROR(M67/L67,"")</f>
        <v/>
      </c>
      <c r="O67" s="12" t="inlineStr"/>
      <c r="P67" s="17" t="inlineStr">
        <is>
          <t>https://cbva.com/venues/6</t>
        </is>
      </c>
    </row>
    <row r="68">
      <c r="A68" s="11" t="n">
        <v>46613</v>
      </c>
      <c r="B68" s="12" t="inlineStr">
        <is>
          <t>projected</t>
        </is>
      </c>
      <c r="C68" s="13" t="n">
        <v>1</v>
      </c>
      <c r="D68" s="12" t="inlineStr">
        <is>
          <t>CBVA women’s open</t>
        </is>
      </c>
      <c r="E68" s="12" t="inlineStr">
        <is>
          <t>Main Beach, Santa Cruz</t>
        </is>
      </c>
      <c r="F68" s="12" t="inlineStr">
        <is>
          <t>CA</t>
        </is>
      </c>
      <c r="G68" s="12" t="inlineStr">
        <is>
          <t>Open</t>
        </is>
      </c>
      <c r="H68" s="12" t="inlineStr">
        <is>
          <t>Women's open</t>
        </is>
      </c>
      <c r="I68" s="12" t="inlineStr"/>
      <c r="J68" s="14" t="n">
        <v>7.6825</v>
      </c>
      <c r="K68" s="13" t="n">
        <v>2</v>
      </c>
      <c r="L68" s="15" t="n">
        <v>5.166666666666667</v>
      </c>
      <c r="M68" s="15" t="n">
        <v>1.166666666666667</v>
      </c>
      <c r="N68" s="16">
        <f>IFERROR(M68/L68,"")</f>
        <v/>
      </c>
      <c r="O68" s="12" t="inlineStr"/>
      <c r="P68" s="17" t="inlineStr">
        <is>
          <t>https://cbva.com/venues/8</t>
        </is>
      </c>
    </row>
    <row r="69">
      <c r="A69" s="11" t="n">
        <v>46620</v>
      </c>
      <c r="B69" s="12" t="inlineStr">
        <is>
          <t>projected</t>
        </is>
      </c>
      <c r="C69" s="13" t="n">
        <v>1</v>
      </c>
      <c r="D69" s="12" t="inlineStr">
        <is>
          <t>CBVA women’s open</t>
        </is>
      </c>
      <c r="E69" s="12" t="inlineStr">
        <is>
          <t>Ocean Beach, San Diego</t>
        </is>
      </c>
      <c r="F69" s="12" t="inlineStr">
        <is>
          <t>CA</t>
        </is>
      </c>
      <c r="G69" s="12" t="inlineStr">
        <is>
          <t>Open</t>
        </is>
      </c>
      <c r="H69" s="12" t="inlineStr">
        <is>
          <t>Women's open</t>
        </is>
      </c>
      <c r="I69" s="12" t="inlineStr"/>
      <c r="J69" s="14" t="n">
        <v>8.145</v>
      </c>
      <c r="K69" s="13" t="n">
        <v>5</v>
      </c>
      <c r="L69" s="15" t="n">
        <v>4</v>
      </c>
      <c r="M69" s="15" t="n">
        <v>1.111111111111111</v>
      </c>
      <c r="N69" s="16">
        <f>IFERROR(M69/L69,"")</f>
        <v/>
      </c>
      <c r="O69" s="12" t="inlineStr"/>
      <c r="P69" s="17" t="inlineStr">
        <is>
          <t>https://cbva.com/venues/13</t>
        </is>
      </c>
    </row>
    <row r="70">
      <c r="A70" s="11" t="n">
        <v>46642</v>
      </c>
      <c r="B70" s="12" t="inlineStr">
        <is>
          <t>projected</t>
        </is>
      </c>
      <c r="C70" s="13" t="n">
        <v>1</v>
      </c>
      <c r="D70" s="12" t="inlineStr">
        <is>
          <t>CBVA women’s open</t>
        </is>
      </c>
      <c r="E70" s="12" t="inlineStr">
        <is>
          <t>Ocean Park, Santa Monica</t>
        </is>
      </c>
      <c r="F70" s="12" t="inlineStr">
        <is>
          <t>CA</t>
        </is>
      </c>
      <c r="G70" s="12" t="inlineStr">
        <is>
          <t>Open</t>
        </is>
      </c>
      <c r="H70" s="12" t="inlineStr">
        <is>
          <t>Women's open</t>
        </is>
      </c>
      <c r="I70" s="12" t="inlineStr"/>
      <c r="J70" s="14" t="n">
        <v>8.936</v>
      </c>
      <c r="K70" s="13" t="n">
        <v>6</v>
      </c>
      <c r="L70" s="15" t="n">
        <v>3.888888888888889</v>
      </c>
      <c r="M70" s="15" t="n">
        <v>2.111111111111111</v>
      </c>
      <c r="N70" s="16">
        <f>IFERROR(M70/L70,"")</f>
        <v/>
      </c>
      <c r="O70" s="12" t="inlineStr"/>
      <c r="P70" s="17" t="inlineStr">
        <is>
          <t>https://cbva.com/venues/7</t>
        </is>
      </c>
    </row>
    <row r="71">
      <c r="A71" s="11" t="n">
        <v>46635</v>
      </c>
      <c r="B71" s="12" t="inlineStr">
        <is>
          <t>projected</t>
        </is>
      </c>
      <c r="C71" s="13" t="n">
        <v>1</v>
      </c>
      <c r="D71" s="12" t="inlineStr">
        <is>
          <t>CBVA women’s open</t>
        </is>
      </c>
      <c r="E71" s="12" t="inlineStr">
        <is>
          <t>Huntington Pier, Huntington Beach</t>
        </is>
      </c>
      <c r="F71" s="12" t="inlineStr">
        <is>
          <t>CA</t>
        </is>
      </c>
      <c r="G71" s="12" t="inlineStr">
        <is>
          <t>Open</t>
        </is>
      </c>
      <c r="H71" s="12" t="inlineStr">
        <is>
          <t>Women's open</t>
        </is>
      </c>
      <c r="I71" s="12" t="inlineStr"/>
      <c r="J71" s="14" t="n">
        <v>9.334</v>
      </c>
      <c r="K71" s="13" t="n">
        <v>15</v>
      </c>
      <c r="L71" s="15" t="n">
        <v>4.4</v>
      </c>
      <c r="M71" s="15" t="n">
        <v>2.066666666666667</v>
      </c>
      <c r="N71" s="16">
        <f>IFERROR(M71/L71,"")</f>
        <v/>
      </c>
      <c r="O71" s="12" t="inlineStr"/>
      <c r="P71" s="17" t="inlineStr">
        <is>
          <t>https://cbva.com/venues/22</t>
        </is>
      </c>
    </row>
    <row r="72">
      <c r="A72" s="11" t="n">
        <v>46641</v>
      </c>
      <c r="B72" s="12" t="inlineStr">
        <is>
          <t>projected</t>
        </is>
      </c>
      <c r="C72" s="13" t="n">
        <v>1</v>
      </c>
      <c r="D72" s="12" t="inlineStr">
        <is>
          <t>CBVA women’s open</t>
        </is>
      </c>
      <c r="E72" s="12" t="inlineStr">
        <is>
          <t>Main Beach, Santa Cruz</t>
        </is>
      </c>
      <c r="F72" s="12" t="inlineStr">
        <is>
          <t>CA</t>
        </is>
      </c>
      <c r="G72" s="12" t="inlineStr">
        <is>
          <t>Open</t>
        </is>
      </c>
      <c r="H72" s="12" t="inlineStr">
        <is>
          <t>Women's open</t>
        </is>
      </c>
      <c r="I72" s="12" t="inlineStr"/>
      <c r="J72" s="14" t="n">
        <v>7.668</v>
      </c>
      <c r="K72" s="13" t="n">
        <v>1</v>
      </c>
      <c r="L72" s="15" t="n">
        <v>2.5</v>
      </c>
      <c r="M72" s="15" t="n">
        <v>0</v>
      </c>
      <c r="N72" s="16">
        <f>IFERROR(M72/L72,"")</f>
        <v/>
      </c>
      <c r="O72" s="12" t="inlineStr"/>
      <c r="P72" s="17" t="inlineStr">
        <is>
          <t>https://cbva.com/venues/8</t>
        </is>
      </c>
    </row>
    <row r="73">
      <c r="A73" s="11" t="n">
        <v>46661</v>
      </c>
      <c r="B73" s="12" t="inlineStr">
        <is>
          <t>estimated</t>
        </is>
      </c>
      <c r="C73" s="13" t="n">
        <v>2</v>
      </c>
      <c r="D73" s="12" t="inlineStr">
        <is>
          <t>The Santa Barbara Open (AVP Next)</t>
        </is>
      </c>
      <c r="E73" s="12" t="inlineStr">
        <is>
          <t>East Beach, Santa Barbara</t>
        </is>
      </c>
      <c r="F73" s="12" t="inlineStr">
        <is>
          <t>CA</t>
        </is>
      </c>
      <c r="G73" s="12" t="inlineStr">
        <is>
          <t>Open</t>
        </is>
      </c>
      <c r="H73" s="12" t="inlineStr">
        <is>
          <t>Pro-am open</t>
        </is>
      </c>
      <c r="I73" s="12" t="inlineStr"/>
      <c r="J73" s="14" t="n">
        <v>9.6455</v>
      </c>
      <c r="K73" s="13" t="n">
        <v>27</v>
      </c>
      <c r="L73" s="15" t="n">
        <v>11.33333333333333</v>
      </c>
      <c r="M73" s="15" t="n">
        <v>5</v>
      </c>
      <c r="N73" s="16">
        <f>IFERROR(M73/L73,"")</f>
        <v/>
      </c>
      <c r="O73" s="12" t="inlineStr"/>
      <c r="P73" s="17" t="inlineStr">
        <is>
          <t>https://volleyballlife.com/tournament/28899</t>
        </is>
      </c>
    </row>
    <row r="74">
      <c r="A74" s="11" t="n">
        <v>46669</v>
      </c>
      <c r="B74" s="12" t="inlineStr">
        <is>
          <t>projected</t>
        </is>
      </c>
      <c r="C74" s="13" t="n">
        <v>1</v>
      </c>
      <c r="D74" s="12" t="inlineStr">
        <is>
          <t>CBVA women’s open</t>
        </is>
      </c>
      <c r="E74" s="12" t="inlineStr">
        <is>
          <t>Belmont Shore, Long Beach</t>
        </is>
      </c>
      <c r="F74" s="12" t="inlineStr">
        <is>
          <t>CA</t>
        </is>
      </c>
      <c r="G74" s="12" t="inlineStr">
        <is>
          <t>Open</t>
        </is>
      </c>
      <c r="H74" s="12" t="inlineStr">
        <is>
          <t>Women's open</t>
        </is>
      </c>
      <c r="I74" s="12" t="inlineStr"/>
      <c r="J74" s="14" t="n">
        <v>8.905000000000001</v>
      </c>
      <c r="K74" s="13" t="n">
        <v>4</v>
      </c>
      <c r="L74" s="15" t="n">
        <v>4.363636363636363</v>
      </c>
      <c r="M74" s="15" t="n">
        <v>2.727272727272727</v>
      </c>
      <c r="N74" s="16">
        <f>IFERROR(M74/L74,"")</f>
        <v/>
      </c>
      <c r="O74" s="12" t="inlineStr"/>
      <c r="P74" s="17" t="inlineStr">
        <is>
          <t>https://cbva.com/venues/3</t>
        </is>
      </c>
    </row>
    <row r="75">
      <c r="A75" s="11" t="n">
        <v>46683</v>
      </c>
      <c r="B75" s="12" t="inlineStr">
        <is>
          <t>projected</t>
        </is>
      </c>
      <c r="C75" s="13" t="n">
        <v>1</v>
      </c>
      <c r="D75" s="12" t="inlineStr">
        <is>
          <t>CBVA women’s open</t>
        </is>
      </c>
      <c r="E75" s="12" t="inlineStr">
        <is>
          <t>Main Beach, Santa Cruz</t>
        </is>
      </c>
      <c r="F75" s="12" t="inlineStr">
        <is>
          <t>CA</t>
        </is>
      </c>
      <c r="G75" s="12" t="inlineStr">
        <is>
          <t>Open</t>
        </is>
      </c>
      <c r="H75" s="12" t="inlineStr">
        <is>
          <t>Women's open</t>
        </is>
      </c>
      <c r="I75" s="12" t="inlineStr"/>
      <c r="J75" s="14" t="n">
        <v>7.573</v>
      </c>
      <c r="K75" s="13" t="n">
        <v>0</v>
      </c>
      <c r="L75" s="15" t="n">
        <v>4.666666666666667</v>
      </c>
      <c r="M75" s="15" t="n">
        <v>0</v>
      </c>
      <c r="N75" s="16">
        <f>IFERROR(M75/L75,"")</f>
        <v/>
      </c>
      <c r="O75" s="12" t="inlineStr"/>
      <c r="P75" s="17" t="inlineStr">
        <is>
          <t>https://cbva.com/venues/8</t>
        </is>
      </c>
    </row>
    <row r="76">
      <c r="A76" s="11" t="n">
        <v>46697</v>
      </c>
      <c r="B76" s="12" t="inlineStr">
        <is>
          <t>estimated</t>
        </is>
      </c>
      <c r="C76" s="13" t="n">
        <v>2</v>
      </c>
      <c r="D76" s="12" t="inlineStr">
        <is>
          <t>AVP Juniors West Coast Championships</t>
        </is>
      </c>
      <c r="E76" s="12" t="inlineStr">
        <is>
          <t>Manhattan Beach</t>
        </is>
      </c>
      <c r="F76" s="12" t="inlineStr">
        <is>
          <t>CA</t>
        </is>
      </c>
      <c r="G76" s="12" t="inlineStr">
        <is>
          <t>18U</t>
        </is>
      </c>
      <c r="H76" s="12" t="inlineStr">
        <is>
          <t>National junior</t>
        </is>
      </c>
      <c r="I76" s="12" t="inlineStr"/>
      <c r="J76" s="14" t="n">
        <v>9.5015</v>
      </c>
      <c r="K76" s="13" t="n">
        <v>17</v>
      </c>
      <c r="L76" s="15" t="n">
        <v>14.66666666666667</v>
      </c>
      <c r="M76" s="15" t="n">
        <v>7</v>
      </c>
      <c r="N76" s="16">
        <f>IFERROR(M76/L76,"")</f>
        <v/>
      </c>
      <c r="O76" s="12" t="inlineStr"/>
      <c r="P76" s="17" t="inlineStr">
        <is>
          <t>https://volleyballlife.com/tournament/25578</t>
        </is>
      </c>
    </row>
    <row r="77">
      <c r="A77" s="11" t="n">
        <v>46697</v>
      </c>
      <c r="B77" s="12" t="inlineStr">
        <is>
          <t>estimated</t>
        </is>
      </c>
      <c r="C77" s="13" t="n">
        <v>2</v>
      </c>
      <c r="D77" s="12" t="inlineStr">
        <is>
          <t>AVP Juniors West Coast Championships</t>
        </is>
      </c>
      <c r="E77" s="12" t="inlineStr">
        <is>
          <t>Manhattan Beach</t>
        </is>
      </c>
      <c r="F77" s="12" t="inlineStr">
        <is>
          <t>CA</t>
        </is>
      </c>
      <c r="G77" s="12" t="inlineStr">
        <is>
          <t>17U</t>
        </is>
      </c>
      <c r="H77" s="12" t="inlineStr">
        <is>
          <t>National junior</t>
        </is>
      </c>
      <c r="I77" s="12" t="inlineStr">
        <is>
          <t>yes</t>
        </is>
      </c>
      <c r="J77" s="14" t="n">
        <v>7.714</v>
      </c>
      <c r="K77" s="13" t="n">
        <v>0</v>
      </c>
      <c r="L77" s="15" t="n">
        <v>15</v>
      </c>
      <c r="M77" s="15" t="n">
        <v>5</v>
      </c>
      <c r="N77" s="16">
        <f>IFERROR(M77/L77,"")</f>
        <v/>
      </c>
      <c r="O77" s="12" t="inlineStr"/>
      <c r="P77" s="17" t="inlineStr">
        <is>
          <t>https://volleyballlife.com/tournament/25578</t>
        </is>
      </c>
    </row>
    <row r="78">
      <c r="A78" s="11" t="n">
        <v>46697</v>
      </c>
      <c r="B78" s="12" t="inlineStr">
        <is>
          <t>projected</t>
        </is>
      </c>
      <c r="C78" s="13" t="n">
        <v>1</v>
      </c>
      <c r="D78" s="12" t="inlineStr">
        <is>
          <t>CBVA women’s open</t>
        </is>
      </c>
      <c r="E78" s="12" t="inlineStr">
        <is>
          <t>Newland, Huntington Beach</t>
        </is>
      </c>
      <c r="F78" s="12" t="inlineStr">
        <is>
          <t>CA</t>
        </is>
      </c>
      <c r="G78" s="12" t="inlineStr">
        <is>
          <t>Open</t>
        </is>
      </c>
      <c r="H78" s="12" t="inlineStr">
        <is>
          <t>Women's open</t>
        </is>
      </c>
      <c r="I78" s="12" t="inlineStr"/>
      <c r="J78" s="14" t="n">
        <v>8.769</v>
      </c>
      <c r="K78" s="13" t="n">
        <v>6</v>
      </c>
      <c r="L78" s="15" t="n">
        <v>4.0625</v>
      </c>
      <c r="M78" s="15" t="n">
        <v>1.8125</v>
      </c>
      <c r="N78" s="16">
        <f>IFERROR(M78/L78,"")</f>
        <v/>
      </c>
      <c r="O78" s="12" t="inlineStr"/>
      <c r="P78" s="17" t="inlineStr">
        <is>
          <t>https://cbva.com/venues/4</t>
        </is>
      </c>
    </row>
    <row r="79">
      <c r="A79" s="11" t="n">
        <v>46732</v>
      </c>
      <c r="B79" s="12" t="inlineStr">
        <is>
          <t>estimated</t>
        </is>
      </c>
      <c r="C79" s="13" t="n">
        <v>1</v>
      </c>
      <c r="D79" s="12" t="inlineStr">
        <is>
          <t>AVP Winter Las Vegas</t>
        </is>
      </c>
      <c r="E79" s="12" t="inlineStr">
        <is>
          <t>Sunset Park, Las Vegas</t>
        </is>
      </c>
      <c r="F79" s="12" t="inlineStr">
        <is>
          <t>NV</t>
        </is>
      </c>
      <c r="G79" s="12" t="inlineStr">
        <is>
          <t>18U</t>
        </is>
      </c>
      <c r="H79" s="12" t="inlineStr">
        <is>
          <t>Junior circuit</t>
        </is>
      </c>
      <c r="I79" s="12" t="inlineStr"/>
      <c r="J79" s="14" t="n">
        <v>6.2515</v>
      </c>
      <c r="K79" s="13" t="n">
        <v>0</v>
      </c>
      <c r="L79" s="15" t="n"/>
      <c r="M79" s="15" t="n"/>
      <c r="N79" s="16">
        <f>IFERROR(M79/L79,"")</f>
        <v/>
      </c>
      <c r="O79" s="12" t="inlineStr"/>
      <c r="P79" s="17" t="inlineStr">
        <is>
          <t>https://volleyballlife.com/tournament/41138</t>
        </is>
      </c>
    </row>
    <row r="80"/>
    <row r="81">
      <c r="A81" s="9" t="inlineStr">
        <is>
          <t>Date: a posted date is the organiser's; an estimated date is last year's edition moved into 2027; a projected date is a CBVA slot placed by its own history (exact 45% of the time, within a week 91%) -- the page shows those as a month rather than a day, because the day is a projection. Days is how long her own draw runs, counted from the dates her division actually played at the most recent edition, not how long the event around it runs. Field median, above her, sets and contested all describe that most recent edition, not the 2027 one.</t>
        </is>
      </c>
    </row>
    <row r="82"/>
    <row r="83"/>
  </sheetData>
  <mergeCells count="1">
    <mergeCell ref="A81:H83"/>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1" customWidth="1" min="1" max="1"/>
    <col width="38" customWidth="1" min="2" max="2"/>
    <col width="30" customWidth="1" min="3" max="3"/>
    <col width="11" customWidth="1" min="4" max="4"/>
    <col width="38" customWidth="1" min="5" max="5"/>
    <col width="30" customWidth="1" min="6" max="6"/>
    <col width="7" customWidth="1" min="7" max="7"/>
    <col width="8" customWidth="1" min="8" max="8"/>
    <col width="12" customWidth="1" min="9" max="9"/>
    <col width="12" customWidth="1" min="10" max="10"/>
    <col width="12" customWidth="1" min="11" max="11"/>
    <col width="24" customWidth="1" min="12" max="12"/>
  </cols>
  <sheetData>
    <row r="1" ht="30" customHeight="1">
      <c r="A1" s="10" t="inlineStr">
        <is>
          <t>Saturday</t>
        </is>
      </c>
      <c r="B1" s="10" t="inlineStr">
        <is>
          <t>Saturday event</t>
        </is>
      </c>
      <c r="C1" s="10" t="inlineStr">
        <is>
          <t>Saturday venue</t>
        </is>
      </c>
      <c r="D1" s="10" t="inlineStr">
        <is>
          <t>Sunday</t>
        </is>
      </c>
      <c r="E1" s="10" t="inlineStr">
        <is>
          <t>Sunday event</t>
        </is>
      </c>
      <c r="F1" s="10" t="inlineStr">
        <is>
          <t>Sunday venue</t>
        </is>
      </c>
      <c r="G1" s="10" t="inlineStr">
        <is>
          <t>Miles</t>
        </is>
      </c>
      <c r="H1" s="10" t="inlineStr">
        <is>
          <t>Minutes</t>
        </is>
      </c>
      <c r="I1" s="10" t="inlineStr">
        <is>
          <t>Sat contested</t>
        </is>
      </c>
      <c r="J1" s="10" t="inlineStr">
        <is>
          <t>Sun contested</t>
        </is>
      </c>
      <c r="K1" s="10" t="inlineStr">
        <is>
          <t>Weekend total</t>
        </is>
      </c>
      <c r="L1" s="10" t="inlineStr">
        <is>
          <t>Dates</t>
        </is>
      </c>
    </row>
    <row r="2">
      <c r="A2" s="11" t="n">
        <v>46347</v>
      </c>
      <c r="B2" s="12" t="inlineStr">
        <is>
          <t>CBVA women’s open</t>
        </is>
      </c>
      <c r="C2" s="12" t="inlineStr">
        <is>
          <t>North Beach, Santa Monica</t>
        </is>
      </c>
      <c r="D2" s="11" t="n">
        <v>46348</v>
      </c>
      <c r="E2" s="12" t="inlineStr">
        <is>
          <t>CBVA women’s open</t>
        </is>
      </c>
      <c r="F2" s="12" t="inlineStr">
        <is>
          <t>Main Beach, Laguna Beach</t>
        </is>
      </c>
      <c r="G2" s="12" t="n">
        <v>52</v>
      </c>
      <c r="H2" s="12" t="n">
        <v>70</v>
      </c>
      <c r="I2" s="18" t="n"/>
      <c r="J2" s="18" t="n">
        <v>5.5</v>
      </c>
      <c r="K2" s="18">
        <f>SUM(I2:J2)</f>
        <v/>
      </c>
      <c r="L2" s="12" t="inlineStr">
        <is>
          <t>Both posted</t>
        </is>
      </c>
    </row>
    <row r="3">
      <c r="A3" s="11" t="n">
        <v>46424</v>
      </c>
      <c r="B3" s="12" t="inlineStr">
        <is>
          <t>Kauai Bikini Open</t>
        </is>
      </c>
      <c r="C3" s="12" t="inlineStr">
        <is>
          <t>North Beach, Santa Monica</t>
        </is>
      </c>
      <c r="D3" s="11" t="n">
        <v>46425</v>
      </c>
      <c r="E3" s="12" t="inlineStr">
        <is>
          <t>IBVL Winter Nationals (School Event) — ISF trial</t>
        </is>
      </c>
      <c r="F3" s="12" t="inlineStr">
        <is>
          <t>Hermosa Beach Pier</t>
        </is>
      </c>
      <c r="G3" s="12" t="n">
        <v>13</v>
      </c>
      <c r="H3" s="12" t="n">
        <v>30</v>
      </c>
      <c r="I3" s="18" t="n"/>
      <c r="J3" s="18" t="n">
        <v>11</v>
      </c>
      <c r="K3" s="18">
        <f>SUM(I3:J3)</f>
        <v/>
      </c>
      <c r="L3" s="12" t="inlineStr">
        <is>
          <t>Both posted</t>
        </is>
      </c>
    </row>
    <row r="4">
      <c r="A4" s="11" t="n">
        <v>46452</v>
      </c>
      <c r="B4" s="12" t="inlineStr">
        <is>
          <t>CBVA women’s open</t>
        </is>
      </c>
      <c r="C4" s="12" t="inlineStr">
        <is>
          <t>Manhattan Pier, Manhattan Beach</t>
        </is>
      </c>
      <c r="D4" s="11" t="n">
        <v>46453</v>
      </c>
      <c r="E4" s="12" t="inlineStr">
        <is>
          <t>California IBVL Winter Series Championships (p1440)</t>
        </is>
      </c>
      <c r="F4" s="12" t="inlineStr">
        <is>
          <t>Hermosa Beach Pier</t>
        </is>
      </c>
      <c r="G4" s="12" t="n">
        <v>3</v>
      </c>
      <c r="H4" s="12" t="n">
        <v>10</v>
      </c>
      <c r="I4" s="18" t="n">
        <v>5.933333333333334</v>
      </c>
      <c r="J4" s="18" t="n">
        <v>8</v>
      </c>
      <c r="K4" s="18">
        <f>SUM(I4:J4)</f>
        <v/>
      </c>
      <c r="L4" s="12" t="inlineStr">
        <is>
          <t>One posted, one projected</t>
        </is>
      </c>
    </row>
    <row r="5">
      <c r="A5" s="11" t="n">
        <v>46466</v>
      </c>
      <c r="B5" s="12" t="inlineStr">
        <is>
          <t>CBVA women’s open</t>
        </is>
      </c>
      <c r="C5" s="12" t="inlineStr">
        <is>
          <t>Newland, Huntington Beach</t>
        </is>
      </c>
      <c r="D5" s="11" t="n">
        <v>46467</v>
      </c>
      <c r="E5" s="12" t="inlineStr">
        <is>
          <t>Marine Open (Girls p1440)</t>
        </is>
      </c>
      <c r="F5" s="12" t="inlineStr">
        <is>
          <t>Manhattan Beach Lifeguard HQ</t>
        </is>
      </c>
      <c r="G5" s="12" t="n">
        <v>33</v>
      </c>
      <c r="H5" s="12" t="n">
        <v>45</v>
      </c>
      <c r="I5" s="18" t="n">
        <v>3.047619047619047</v>
      </c>
      <c r="J5" s="18" t="n"/>
      <c r="K5" s="18">
        <f>SUM(I5:J5)</f>
        <v/>
      </c>
      <c r="L5" s="12" t="inlineStr">
        <is>
          <t>One posted, one projected</t>
        </is>
      </c>
    </row>
    <row r="6">
      <c r="A6" s="11" t="n">
        <v>46522</v>
      </c>
      <c r="B6" s="12" t="inlineStr">
        <is>
          <t>CBVA women’s open</t>
        </is>
      </c>
      <c r="C6" s="12" t="inlineStr">
        <is>
          <t>Ocean Park, Santa Monica</t>
        </is>
      </c>
      <c r="D6" s="11" t="n">
        <v>46523</v>
      </c>
      <c r="E6" s="12" t="inlineStr">
        <is>
          <t>CBVA women’s open</t>
        </is>
      </c>
      <c r="F6" s="12" t="inlineStr">
        <is>
          <t>Belmont Shore, Long Beach</t>
        </is>
      </c>
      <c r="G6" s="12" t="n">
        <v>30</v>
      </c>
      <c r="H6" s="12" t="n">
        <v>45</v>
      </c>
      <c r="I6" s="18" t="n">
        <v>2</v>
      </c>
      <c r="J6" s="18" t="n">
        <v>1.75</v>
      </c>
      <c r="K6" s="18">
        <f>SUM(I6:J6)</f>
        <v/>
      </c>
      <c r="L6" s="12" t="inlineStr">
        <is>
          <t>Both projected</t>
        </is>
      </c>
    </row>
    <row r="7">
      <c r="A7" s="11" t="n">
        <v>46543</v>
      </c>
      <c r="B7" s="12" t="inlineStr">
        <is>
          <t>Kauai Bikini Open</t>
        </is>
      </c>
      <c r="C7" s="12" t="inlineStr">
        <is>
          <t>North Beach, Santa Monica</t>
        </is>
      </c>
      <c r="D7" s="11" t="n">
        <v>46544</v>
      </c>
      <c r="E7" s="12" t="inlineStr">
        <is>
          <t>CBVA women’s open</t>
        </is>
      </c>
      <c r="F7" s="12" t="inlineStr">
        <is>
          <t>Dockweiler, Los Angeles</t>
        </is>
      </c>
      <c r="G7" s="12" t="n">
        <v>8</v>
      </c>
      <c r="H7" s="12" t="n">
        <v>20</v>
      </c>
      <c r="I7" s="18" t="n"/>
      <c r="J7" s="18" t="n">
        <v>2.714285714285714</v>
      </c>
      <c r="K7" s="18">
        <f>SUM(I7:J7)</f>
        <v/>
      </c>
      <c r="L7" s="12" t="inlineStr">
        <is>
          <t>One posted, one projected</t>
        </is>
      </c>
    </row>
    <row r="8">
      <c r="A8" s="11" t="n">
        <v>46543</v>
      </c>
      <c r="B8" s="12" t="inlineStr">
        <is>
          <t>Kauai Bikini Open</t>
        </is>
      </c>
      <c r="C8" s="12" t="inlineStr">
        <is>
          <t>North Beach, Santa Monica</t>
        </is>
      </c>
      <c r="D8" s="11" t="n">
        <v>46544</v>
      </c>
      <c r="E8" s="12" t="inlineStr">
        <is>
          <t>CBVA women’s open</t>
        </is>
      </c>
      <c r="F8" s="12" t="inlineStr">
        <is>
          <t>Ocean Park, Santa Monica</t>
        </is>
      </c>
      <c r="G8" s="12" t="n">
        <v>1</v>
      </c>
      <c r="H8" s="12" t="n">
        <v>5</v>
      </c>
      <c r="I8" s="18" t="n"/>
      <c r="J8" s="18" t="n">
        <v>1.75</v>
      </c>
      <c r="K8" s="18">
        <f>SUM(I8:J8)</f>
        <v/>
      </c>
      <c r="L8" s="12" t="inlineStr">
        <is>
          <t>One posted, one projected</t>
        </is>
      </c>
    </row>
    <row r="9"/>
    <row r="10">
      <c r="A10" s="9" t="inlineStr">
        <is>
          <t>Two one-day draws on the two days of one weekend, within reach of one hotel. A weekend total with a blank beside it is a floor: the corpus carries no bracket for the Kauai Bikini Open or the Marine Open, so their sets are unknown rather than zero. Miles and minutes are approximate road distances read off the map.</t>
        </is>
      </c>
    </row>
    <row r="11"/>
    <row r="12"/>
  </sheetData>
  <mergeCells count="1">
    <mergeCell ref="A10:F1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44" customWidth="1" min="3" max="3"/>
    <col width="30" customWidth="1" min="4" max="4"/>
    <col width="6" customWidth="1" min="5" max="5"/>
    <col width="7" customWidth="1" min="6" max="6"/>
    <col width="11" customWidth="1" min="7" max="7"/>
    <col width="10" customWidth="1" min="8" max="8"/>
    <col width="7" customWidth="1" min="9" max="9"/>
    <col width="10" customWidth="1" min="10" max="10"/>
    <col width="14" customWidth="1" min="11" max="11"/>
    <col width="11" customWidth="1" min="12" max="12"/>
    <col width="46" customWidth="1" min="13" max="13"/>
  </cols>
  <sheetData>
    <row r="1" ht="30" customHeight="1">
      <c r="A1" s="10" t="inlineStr">
        <is>
          <t>Date</t>
        </is>
      </c>
      <c r="B1" s="10" t="inlineStr">
        <is>
          <t>Series</t>
        </is>
      </c>
      <c r="C1" s="10" t="inlineStr">
        <is>
          <t>Event</t>
        </is>
      </c>
      <c r="D1" s="10" t="inlineStr">
        <is>
          <t>Venue</t>
        </is>
      </c>
      <c r="E1" s="10" t="inlineStr">
        <is>
          <t>Days</t>
        </is>
      </c>
      <c r="F1" s="10" t="inlineStr">
        <is>
          <t>Teams</t>
        </is>
      </c>
      <c r="G1" s="10" t="inlineStr">
        <is>
          <t>Field median</t>
        </is>
      </c>
      <c r="H1" s="10" t="inlineStr">
        <is>
          <t>Above her</t>
        </is>
      </c>
      <c r="I1" s="10" t="inlineStr">
        <is>
          <t>Sets</t>
        </is>
      </c>
      <c r="J1" s="10" t="inlineStr">
        <is>
          <t>Contested</t>
        </is>
      </c>
      <c r="K1" s="10" t="inlineStr">
        <is>
          <t>Contested share</t>
        </is>
      </c>
      <c r="L1" s="10" t="inlineStr">
        <is>
          <t>Rated pairs</t>
        </is>
      </c>
      <c r="M1" s="10" t="inlineStr">
        <is>
          <t>Link</t>
        </is>
      </c>
    </row>
    <row r="2">
      <c r="A2" s="11" t="n">
        <v>45816</v>
      </c>
      <c r="B2" s="12" t="inlineStr">
        <is>
          <t>Highline</t>
        </is>
      </c>
      <c r="C2" s="12" t="inlineStr">
        <is>
          <t>Soli / Highline - Open Tournament</t>
        </is>
      </c>
      <c r="D2" s="12" t="inlineStr">
        <is>
          <t>Ocean Park North Volleyball Courts</t>
        </is>
      </c>
      <c r="E2" s="12" t="n">
        <v>1</v>
      </c>
      <c r="F2" s="12" t="n">
        <v>20</v>
      </c>
      <c r="G2" s="19" t="n">
        <v>9.620000000000001</v>
      </c>
      <c r="H2" s="12" t="n">
        <v>17</v>
      </c>
      <c r="I2" s="18" t="n">
        <v>6.166666666666667</v>
      </c>
      <c r="J2" s="18" t="n">
        <v>3.333333333333333</v>
      </c>
      <c r="K2" s="20">
        <f>IFERROR(J2/I2,"")</f>
        <v/>
      </c>
      <c r="L2" s="12" t="n">
        <v>6</v>
      </c>
      <c r="M2" s="17" t="inlineStr">
        <is>
          <t>https://volleyballlife.com/tournament/28813</t>
        </is>
      </c>
    </row>
    <row r="3">
      <c r="A3" s="11" t="n">
        <v>45857</v>
      </c>
      <c r="B3" s="12" t="inlineStr">
        <is>
          <t>Highline</t>
        </is>
      </c>
      <c r="C3" s="12" t="inlineStr">
        <is>
          <t>Highline Women's Open</t>
        </is>
      </c>
      <c r="D3" s="12" t="inlineStr">
        <is>
          <t>Dockweiler State Beach</t>
        </is>
      </c>
      <c r="E3" s="12" t="n">
        <v>1</v>
      </c>
      <c r="F3" s="12" t="n">
        <v>18</v>
      </c>
      <c r="G3" s="19" t="n">
        <v>9.971499999999999</v>
      </c>
      <c r="H3" s="12" t="n">
        <v>18</v>
      </c>
      <c r="I3" s="18" t="n">
        <v>10</v>
      </c>
      <c r="J3" s="18" t="n">
        <v>3.75</v>
      </c>
      <c r="K3" s="20">
        <f>IFERROR(J3/I3,"")</f>
        <v/>
      </c>
      <c r="L3" s="12" t="n">
        <v>4</v>
      </c>
      <c r="M3" s="17" t="inlineStr">
        <is>
          <t>https://volleyballlife.com/tournament/30939</t>
        </is>
      </c>
    </row>
    <row r="4">
      <c r="A4" s="11" t="n">
        <v>45892</v>
      </c>
      <c r="B4" s="12" t="inlineStr">
        <is>
          <t>Highline</t>
        </is>
      </c>
      <c r="C4" s="12" t="inlineStr">
        <is>
          <t>Highline x WITH - The Santa Monica Open $10K</t>
        </is>
      </c>
      <c r="D4" s="12" t="inlineStr">
        <is>
          <t>Ocean Park North Volleyball Courts</t>
        </is>
      </c>
      <c r="E4" s="12" t="n">
        <v>2</v>
      </c>
      <c r="F4" s="12" t="n">
        <v>20</v>
      </c>
      <c r="G4" s="19" t="n">
        <v>9.776999999999999</v>
      </c>
      <c r="H4" s="12" t="n">
        <v>16</v>
      </c>
      <c r="I4" s="18" t="n">
        <v>9.857142857142858</v>
      </c>
      <c r="J4" s="18" t="n">
        <v>4.285714285714286</v>
      </c>
      <c r="K4" s="20">
        <f>IFERROR(J4/I4,"")</f>
        <v/>
      </c>
      <c r="L4" s="12" t="n">
        <v>7</v>
      </c>
      <c r="M4" s="17" t="inlineStr">
        <is>
          <t>https://volleyballlife.com/tournament/30355</t>
        </is>
      </c>
    </row>
    <row r="5">
      <c r="A5" s="11" t="n">
        <v>45933</v>
      </c>
      <c r="B5" s="12" t="inlineStr">
        <is>
          <t>AVP Next</t>
        </is>
      </c>
      <c r="C5" s="12" t="inlineStr">
        <is>
          <t>The Santa Barbara Open- AVP Next</t>
        </is>
      </c>
      <c r="D5" s="12" t="inlineStr">
        <is>
          <t>Santa Barbara</t>
        </is>
      </c>
      <c r="E5" s="12" t="n">
        <v>3</v>
      </c>
      <c r="F5" s="12" t="n">
        <v>32</v>
      </c>
      <c r="G5" s="19" t="n">
        <v>9.6455</v>
      </c>
      <c r="H5" s="12" t="n">
        <v>27</v>
      </c>
      <c r="I5" s="18" t="n">
        <v>11.33333333333333</v>
      </c>
      <c r="J5" s="18" t="n">
        <v>5</v>
      </c>
      <c r="K5" s="20">
        <f>IFERROR(J5/I5,"")</f>
        <v/>
      </c>
      <c r="L5" s="12" t="n">
        <v>9</v>
      </c>
      <c r="M5" s="17" t="inlineStr">
        <is>
          <t>https://volleyballlife.com/tournament/28899</t>
        </is>
      </c>
    </row>
    <row r="6">
      <c r="A6" s="11" t="n">
        <v>45977</v>
      </c>
      <c r="B6" s="12" t="inlineStr">
        <is>
          <t>Highline</t>
        </is>
      </c>
      <c r="C6" s="12" t="inlineStr">
        <is>
          <t>Mad Hippie Highline Open</t>
        </is>
      </c>
      <c r="D6" s="12" t="inlineStr">
        <is>
          <t>Manhattan Beach Pier</t>
        </is>
      </c>
      <c r="E6" s="12" t="n">
        <v>1</v>
      </c>
      <c r="F6" s="12" t="n">
        <v>16</v>
      </c>
      <c r="G6" s="19" t="n">
        <v>10.002</v>
      </c>
      <c r="H6" s="12" t="n">
        <v>18</v>
      </c>
      <c r="I6" s="18" t="n">
        <v>7.166666666666667</v>
      </c>
      <c r="J6" s="18" t="n">
        <v>3.833333333333333</v>
      </c>
      <c r="K6" s="20">
        <f>IFERROR(J6/I6,"")</f>
        <v/>
      </c>
      <c r="L6" s="12" t="n">
        <v>6</v>
      </c>
      <c r="M6" s="17" t="inlineStr">
        <is>
          <t>https://volleyballlife.com/tournament/33832</t>
        </is>
      </c>
    </row>
    <row r="7">
      <c r="A7" s="11" t="n">
        <v>46074</v>
      </c>
      <c r="B7" s="12" t="inlineStr">
        <is>
          <t>Highline</t>
        </is>
      </c>
      <c r="C7" s="12" t="inlineStr">
        <is>
          <t>Men's/Women's Open - AVP League Format</t>
        </is>
      </c>
      <c r="D7" s="12" t="inlineStr">
        <is>
          <t>2400 Ocean Front Walk</t>
        </is>
      </c>
      <c r="E7" s="12" t="n">
        <v>1</v>
      </c>
      <c r="F7" s="12" t="n">
        <v>12</v>
      </c>
      <c r="G7" s="19" t="n">
        <v>9.984500000000001</v>
      </c>
      <c r="H7" s="12" t="n">
        <v>13</v>
      </c>
      <c r="I7" s="18" t="n">
        <v>12</v>
      </c>
      <c r="J7" s="18" t="n">
        <v>6.6</v>
      </c>
      <c r="K7" s="20">
        <f>IFERROR(J7/I7,"")</f>
        <v/>
      </c>
      <c r="L7" s="12" t="n">
        <v>5</v>
      </c>
      <c r="M7" s="17" t="inlineStr">
        <is>
          <t>https://volleyballlife.com/tournament/35531</t>
        </is>
      </c>
    </row>
    <row r="8">
      <c r="A8" s="11" t="n">
        <v>46081</v>
      </c>
      <c r="B8" s="12" t="inlineStr">
        <is>
          <t>Highline</t>
        </is>
      </c>
      <c r="C8" s="12" t="inlineStr">
        <is>
          <t>Highline Sponsorship Open ($5K)</t>
        </is>
      </c>
      <c r="D8" s="12" t="inlineStr">
        <is>
          <t>Ocean Park North</t>
        </is>
      </c>
      <c r="E8" s="12" t="n">
        <v>1</v>
      </c>
      <c r="F8" s="12" t="n">
        <v>17</v>
      </c>
      <c r="G8" s="19" t="n">
        <v>10.0125</v>
      </c>
      <c r="H8" s="12" t="n">
        <v>17</v>
      </c>
      <c r="I8" s="18" t="n">
        <v>5.5</v>
      </c>
      <c r="J8" s="18" t="n">
        <v>3.25</v>
      </c>
      <c r="K8" s="20">
        <f>IFERROR(J8/I8,"")</f>
        <v/>
      </c>
      <c r="L8" s="12" t="n">
        <v>4</v>
      </c>
      <c r="M8" s="17" t="inlineStr">
        <is>
          <t>https://volleyballlife.com/tournament/36177</t>
        </is>
      </c>
    </row>
    <row r="9">
      <c r="A9" s="11" t="n">
        <v>46089</v>
      </c>
      <c r="B9" s="12" t="inlineStr">
        <is>
          <t>Highline</t>
        </is>
      </c>
      <c r="C9" s="12" t="inlineStr">
        <is>
          <t>Men's/Women's Open - “League” Format</t>
        </is>
      </c>
      <c r="D9" s="12" t="inlineStr">
        <is>
          <t>Manhattan Beach Pier South</t>
        </is>
      </c>
      <c r="E9" s="12" t="n">
        <v>1</v>
      </c>
      <c r="F9" s="12" t="n">
        <v>11</v>
      </c>
      <c r="G9" s="19" t="n">
        <v>9.431000000000001</v>
      </c>
      <c r="H9" s="12" t="n">
        <v>10</v>
      </c>
      <c r="I9" s="18" t="n">
        <v>11.4</v>
      </c>
      <c r="J9" s="18" t="n">
        <v>6</v>
      </c>
      <c r="K9" s="20">
        <f>IFERROR(J9/I9,"")</f>
        <v/>
      </c>
      <c r="L9" s="12" t="n">
        <v>5</v>
      </c>
      <c r="M9" s="17" t="inlineStr">
        <is>
          <t>https://volleyballlife.com/tournament/36426</t>
        </is>
      </c>
    </row>
    <row r="10">
      <c r="A10" s="11" t="n">
        <v>46116</v>
      </c>
      <c r="B10" s="12" t="inlineStr">
        <is>
          <t>Highline</t>
        </is>
      </c>
      <c r="C10" s="12" t="inlineStr">
        <is>
          <t>Highline x HOBVF x Beach United - Men's/Women's Open</t>
        </is>
      </c>
      <c r="D10" s="12" t="inlineStr">
        <is>
          <t>The Huntington Beach Courts</t>
        </is>
      </c>
      <c r="E10" s="12" t="n">
        <v>1</v>
      </c>
      <c r="F10" s="12" t="n">
        <v>13</v>
      </c>
      <c r="G10" s="19" t="n">
        <v>9.398</v>
      </c>
      <c r="H10" s="12" t="n">
        <v>7</v>
      </c>
      <c r="I10" s="18" t="n">
        <v>10.33333333333333</v>
      </c>
      <c r="J10" s="18" t="n">
        <v>5</v>
      </c>
      <c r="K10" s="20">
        <f>IFERROR(J10/I10,"")</f>
        <v/>
      </c>
      <c r="L10" s="12" t="n">
        <v>3</v>
      </c>
      <c r="M10" s="17" t="inlineStr">
        <is>
          <t>https://volleyballlife.com/tournament/37280</t>
        </is>
      </c>
    </row>
    <row r="11">
      <c r="A11" s="11" t="n">
        <v>46122</v>
      </c>
      <c r="B11" s="12" t="inlineStr">
        <is>
          <t>AVP Next</t>
        </is>
      </c>
      <c r="C11" s="12" t="inlineStr">
        <is>
          <t>AVP NEXT Huntington Beach Series - $8,000 Purse</t>
        </is>
      </c>
      <c r="D11" s="12" t="inlineStr">
        <is>
          <t>Beach Elite Volleyball Courts @ Brookhurst Street</t>
        </is>
      </c>
      <c r="E11" s="12" t="n">
        <v>2</v>
      </c>
      <c r="F11" s="12" t="n">
        <v>14</v>
      </c>
      <c r="G11" s="19" t="n">
        <v>9.904</v>
      </c>
      <c r="H11" s="12" t="n">
        <v>16</v>
      </c>
      <c r="I11" s="18" t="n"/>
      <c r="J11" s="18" t="n"/>
      <c r="K11" s="20">
        <f>IFERROR(J11/I11,"")</f>
        <v/>
      </c>
      <c r="L11" s="12" t="n">
        <v>0</v>
      </c>
      <c r="M11" s="17" t="inlineStr">
        <is>
          <t>https://volleyballlife.com/tournament/36208</t>
        </is>
      </c>
    </row>
    <row r="12">
      <c r="A12" s="11" t="n">
        <v>46173</v>
      </c>
      <c r="B12" s="12" t="inlineStr">
        <is>
          <t>Highline</t>
        </is>
      </c>
      <c r="C12" s="12" t="inlineStr">
        <is>
          <t>Highline - Men's/Women's Open $3K</t>
        </is>
      </c>
      <c r="D12" s="12" t="inlineStr">
        <is>
          <t>East Beach, Santa Barbara</t>
        </is>
      </c>
      <c r="E12" s="12" t="n">
        <v>1</v>
      </c>
      <c r="F12" s="12" t="n">
        <v>13</v>
      </c>
      <c r="G12" s="19" t="n">
        <v>8.574000000000002</v>
      </c>
      <c r="H12" s="12" t="n">
        <v>2</v>
      </c>
      <c r="I12" s="18" t="n">
        <v>12</v>
      </c>
      <c r="J12" s="18" t="n">
        <v>9</v>
      </c>
      <c r="K12" s="20">
        <f>IFERROR(J12/I12,"")</f>
        <v/>
      </c>
      <c r="L12" s="12" t="n">
        <v>1</v>
      </c>
      <c r="M12" s="17" t="inlineStr">
        <is>
          <t>https://volleyballlife.com/tournament/37912</t>
        </is>
      </c>
    </row>
    <row r="13">
      <c r="A13" s="11" t="n">
        <v>46186</v>
      </c>
      <c r="B13" s="12" t="inlineStr">
        <is>
          <t>Highline</t>
        </is>
      </c>
      <c r="C13" s="12" t="inlineStr">
        <is>
          <t>Highline - Men's/Women's Open</t>
        </is>
      </c>
      <c r="D13" s="12" t="inlineStr">
        <is>
          <t>Ocean Park North</t>
        </is>
      </c>
      <c r="E13" s="12" t="n">
        <v>1</v>
      </c>
      <c r="F13" s="12" t="n">
        <v>17</v>
      </c>
      <c r="G13" s="19" t="n">
        <v>10.09</v>
      </c>
      <c r="H13" s="12" t="n">
        <v>14</v>
      </c>
      <c r="I13" s="18" t="n">
        <v>5.5</v>
      </c>
      <c r="J13" s="18" t="n">
        <v>2.25</v>
      </c>
      <c r="K13" s="20">
        <f>IFERROR(J13/I13,"")</f>
        <v/>
      </c>
      <c r="L13" s="12" t="n">
        <v>4</v>
      </c>
      <c r="M13" s="17" t="inlineStr">
        <is>
          <t>https://volleyballlife.com/tournament/38944</t>
        </is>
      </c>
    </row>
    <row r="14">
      <c r="A14" s="11" t="n">
        <v>46222</v>
      </c>
      <c r="B14" s="12" t="inlineStr">
        <is>
          <t>Highline</t>
        </is>
      </c>
      <c r="C14" s="12" t="inlineStr">
        <is>
          <t>Highline - Men's/Women's Open $2.5K</t>
        </is>
      </c>
      <c r="D14" s="12" t="inlineStr">
        <is>
          <t>East Beach, Santa Barbara</t>
        </is>
      </c>
      <c r="E14" s="12" t="n">
        <v>1</v>
      </c>
      <c r="F14" s="12" t="n">
        <v>15</v>
      </c>
      <c r="G14" s="19" t="n">
        <v>8.257999999999999</v>
      </c>
      <c r="H14" s="12" t="n">
        <v>5</v>
      </c>
      <c r="I14" s="18" t="n">
        <v>12</v>
      </c>
      <c r="J14" s="18" t="n">
        <v>5</v>
      </c>
      <c r="K14" s="20">
        <f>IFERROR(J14/I14,"")</f>
        <v/>
      </c>
      <c r="L14" s="12" t="n">
        <v>2</v>
      </c>
      <c r="M14" s="17" t="inlineStr">
        <is>
          <t>https://volleyballlife.com/tournament/39873</t>
        </is>
      </c>
    </row>
    <row r="15">
      <c r="A15" s="11" t="n">
        <v>46228</v>
      </c>
      <c r="B15" s="12" t="inlineStr">
        <is>
          <t>Highline</t>
        </is>
      </c>
      <c r="C15" s="12" t="inlineStr">
        <is>
          <t>Highline - Men's/Women's $2.5K</t>
        </is>
      </c>
      <c r="D15" s="12" t="inlineStr">
        <is>
          <t>Coronado Beach</t>
        </is>
      </c>
      <c r="E15" s="12" t="n">
        <v>1</v>
      </c>
      <c r="F15" s="12" t="n">
        <v>9</v>
      </c>
      <c r="G15" s="19" t="n">
        <v>7.365</v>
      </c>
      <c r="H15" s="12" t="n">
        <v>0</v>
      </c>
      <c r="I15" s="18" t="n">
        <v>9</v>
      </c>
      <c r="J15" s="18" t="n">
        <v>0</v>
      </c>
      <c r="K15" s="20">
        <f>IFERROR(J15/I15,"")</f>
        <v/>
      </c>
      <c r="L15" s="12" t="n">
        <v>1</v>
      </c>
      <c r="M15" s="17" t="inlineStr">
        <is>
          <t>https://volleyballlife.com/tournament/39874</t>
        </is>
      </c>
    </row>
    <row r="16">
      <c r="A16" s="11" t="n">
        <v>46256</v>
      </c>
      <c r="B16" s="12" t="inlineStr">
        <is>
          <t>AVP Next</t>
        </is>
      </c>
      <c r="C16" s="12" t="inlineStr">
        <is>
          <t>Highline - Santa Monica AVP NEXT</t>
        </is>
      </c>
      <c r="D16" s="12" t="inlineStr">
        <is>
          <t>Santa Monica Pier</t>
        </is>
      </c>
      <c r="E16" s="12" t="n">
        <v>2</v>
      </c>
      <c r="F16" s="12" t="n">
        <v>17</v>
      </c>
      <c r="G16" s="19" t="n">
        <v>9.9345</v>
      </c>
      <c r="H16" s="12" t="n">
        <v>16</v>
      </c>
      <c r="I16" s="18" t="n">
        <v>8.800000000000001</v>
      </c>
      <c r="J16" s="18" t="n">
        <v>6</v>
      </c>
      <c r="K16" s="20">
        <f>IFERROR(J16/I16,"")</f>
        <v/>
      </c>
      <c r="L16" s="12" t="n">
        <v>5</v>
      </c>
      <c r="M16" s="17" t="inlineStr">
        <is>
          <t>https://volleyballlife.com/tournament/34776</t>
        </is>
      </c>
    </row>
    <row r="17">
      <c r="A17" s="11" t="n">
        <v>46285</v>
      </c>
      <c r="B17" s="12" t="inlineStr">
        <is>
          <t>Highline</t>
        </is>
      </c>
      <c r="C17" s="12" t="inlineStr">
        <is>
          <t>Highline - Men's/Women's $2.5K</t>
        </is>
      </c>
      <c r="D17" s="12" t="inlineStr">
        <is>
          <t>Coronado Beach</t>
        </is>
      </c>
      <c r="E17" s="12" t="n">
        <v>1</v>
      </c>
      <c r="F17" s="12" t="n">
        <v>10</v>
      </c>
      <c r="G17" s="19" t="n">
        <v>7.8395</v>
      </c>
      <c r="H17" s="12" t="n">
        <v>0</v>
      </c>
      <c r="I17" s="18" t="n"/>
      <c r="J17" s="18" t="n"/>
      <c r="K17" s="20">
        <f>IFERROR(J17/I17,"")</f>
        <v/>
      </c>
      <c r="L17" s="12" t="n">
        <v>0</v>
      </c>
      <c r="M17" s="17" t="inlineStr">
        <is>
          <t>https://volleyballlife.com/tournament/41301</t>
        </is>
      </c>
    </row>
    <row r="18">
      <c r="A18" s="11" t="n">
        <v>46313</v>
      </c>
      <c r="B18" s="12" t="inlineStr">
        <is>
          <t>Highline</t>
        </is>
      </c>
      <c r="C18" s="12" t="inlineStr">
        <is>
          <t>Highline - Men's A / Women's A / Women's Open</t>
        </is>
      </c>
      <c r="D18" s="12" t="inlineStr">
        <is>
          <t>Coronado Beach</t>
        </is>
      </c>
      <c r="E18" s="12" t="n">
        <v>1</v>
      </c>
      <c r="F18" s="12" t="n">
        <v>12</v>
      </c>
      <c r="G18" s="19" t="n">
        <v>7.652</v>
      </c>
      <c r="H18" s="12" t="n">
        <v>0</v>
      </c>
      <c r="I18" s="18" t="n"/>
      <c r="J18" s="18" t="n"/>
      <c r="K18" s="20">
        <f>IFERROR(J18/I18,"")</f>
        <v/>
      </c>
      <c r="L18" s="12" t="n">
        <v>0</v>
      </c>
      <c r="M18" s="17" t="inlineStr">
        <is>
          <t>https://volleyballlife.com/tournament/41947</t>
        </is>
      </c>
    </row>
    <row r="19">
      <c r="A19" s="11" t="n">
        <v>46313</v>
      </c>
      <c r="B19" s="12" t="inlineStr">
        <is>
          <t>Highline</t>
        </is>
      </c>
      <c r="C19" s="12" t="inlineStr">
        <is>
          <t>Highline - Men's A / Women's A / Women's Open</t>
        </is>
      </c>
      <c r="D19" s="12" t="inlineStr">
        <is>
          <t>Coronado Beach</t>
        </is>
      </c>
      <c r="E19" s="12" t="n">
        <v>1</v>
      </c>
      <c r="F19" s="12" t="n">
        <v>19</v>
      </c>
      <c r="G19" s="19" t="n">
        <v>6.292</v>
      </c>
      <c r="H19" s="12" t="n">
        <v>0</v>
      </c>
      <c r="I19" s="18" t="n"/>
      <c r="J19" s="18" t="n"/>
      <c r="K19" s="20">
        <f>IFERROR(J19/I19,"")</f>
        <v/>
      </c>
      <c r="L19" s="12" t="n">
        <v>0</v>
      </c>
      <c r="M19" s="17" t="inlineStr">
        <is>
          <t>https://volleyballlife.com/tournament/41947</t>
        </is>
      </c>
    </row>
    <row r="20"/>
    <row r="21">
      <c r="A21" s="9" t="inlineStr">
        <is>
          <t>Every Highline or AVP Next women's open draw in California since 2025. Rated pairs is how many pairs rated within her own band were in that draw, and it is the sample the sets and contested columns rest on: a figure resting on one or two pairs is one or two teams' afternoon, not a property of the event. The medians and the count above her rest on the whole entry list.</t>
        </is>
      </c>
    </row>
    <row r="22"/>
    <row r="23"/>
  </sheetData>
  <mergeCells count="1">
    <mergeCell ref="A21:G23"/>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17" customWidth="1" min="3" max="3"/>
    <col width="12" customWidth="1" min="4" max="4"/>
    <col width="10" customWidth="1" min="5" max="5"/>
    <col width="11" customWidth="1" min="6" max="6"/>
    <col width="14" customWidth="1" min="7" max="7"/>
  </cols>
  <sheetData>
    <row r="1" ht="30" customHeight="1">
      <c r="A1" s="10" t="inlineStr">
        <is>
          <t>Tier</t>
        </is>
      </c>
      <c r="B1" s="10" t="inlineStr">
        <is>
          <t>Where</t>
        </is>
      </c>
      <c r="C1" s="10" t="inlineStr">
        <is>
          <t>US entrants rated</t>
        </is>
      </c>
      <c r="D1" s="10" t="inlineStr">
        <is>
          <t>Field median</t>
        </is>
      </c>
      <c r="E1" s="10" t="inlineStr">
        <is>
          <t>Weakest</t>
        </is>
      </c>
      <c r="F1" s="10" t="inlineStr">
        <is>
          <t>Below her</t>
        </is>
      </c>
      <c r="G1" s="10" t="inlineStr">
        <is>
          <t>Her match odds</t>
        </is>
      </c>
    </row>
    <row r="2">
      <c r="A2" s="12" t="inlineStr">
        <is>
          <t>Mexico Elite16</t>
        </is>
      </c>
      <c r="B2" s="12" t="inlineStr">
        <is>
          <t>Tepic, Quintana Roo</t>
        </is>
      </c>
      <c r="C2" s="12" t="n">
        <v>22</v>
      </c>
      <c r="D2" s="19" t="n">
        <v>12.6125</v>
      </c>
      <c r="E2" s="19" t="n">
        <v>10.727</v>
      </c>
      <c r="F2" s="20" t="n">
        <v>0</v>
      </c>
      <c r="G2" s="20">
        <f>1/(1+EXP(D2-Key!$B$5))</f>
        <v/>
      </c>
    </row>
    <row r="3">
      <c r="A3" s="12" t="inlineStr">
        <is>
          <t>Mexico Challenge</t>
        </is>
      </c>
      <c r="B3" s="12" t="inlineStr">
        <is>
          <t>Tlaxcala, Nayarit, Yucatan, Veracruz, Guadalajara, La Paz</t>
        </is>
      </c>
      <c r="C3" s="12" t="n">
        <v>138</v>
      </c>
      <c r="D3" s="19" t="n">
        <v>11.609</v>
      </c>
      <c r="E3" s="19" t="n">
        <v>9.198</v>
      </c>
      <c r="F3" s="20" t="n">
        <v>0.08695652173913043</v>
      </c>
      <c r="G3" s="20">
        <f>1/(1+EXP(D3-Key!$B$5))</f>
        <v/>
      </c>
    </row>
    <row r="4">
      <c r="A4" s="12" t="inlineStr">
        <is>
          <t>Elite16, worldwide</t>
        </is>
      </c>
      <c r="B4" s="12" t="inlineStr">
        <is>
          <t>the sixteen-team top tier</t>
        </is>
      </c>
      <c r="C4" s="12" t="n">
        <v>712</v>
      </c>
      <c r="D4" s="19" t="n">
        <v>12.352</v>
      </c>
      <c r="E4" s="19" t="n">
        <v>9.081</v>
      </c>
      <c r="F4" s="20" t="n">
        <v>0.002808988764044944</v>
      </c>
      <c r="G4" s="20">
        <f>1/(1+EXP(D4-Key!$B$5))</f>
        <v/>
      </c>
    </row>
    <row r="5">
      <c r="A5" s="12" t="inlineStr">
        <is>
          <t>Challenge, worldwide</t>
        </is>
      </c>
      <c r="B5" s="12" t="inlineStr">
        <is>
          <t>the tier below it</t>
        </is>
      </c>
      <c r="C5" s="12" t="n">
        <v>322</v>
      </c>
      <c r="D5" s="19" t="n">
        <v>11.58</v>
      </c>
      <c r="E5" s="19" t="n">
        <v>8.367000000000001</v>
      </c>
      <c r="F5" s="20" t="n">
        <v>0.03105590062111801</v>
      </c>
      <c r="G5" s="20">
        <f>1/(1+EXP(D5-Key!$B$5))</f>
        <v/>
      </c>
    </row>
    <row r="6">
      <c r="A6" s="12" t="inlineStr">
        <is>
          <t>Futures, the Americas</t>
        </is>
      </c>
      <c r="B6" s="12" t="inlineStr">
        <is>
          <t>Pompano Beach FL, Halifax CAN - never Mexico</t>
        </is>
      </c>
      <c r="C6" s="12" t="n">
        <v>49</v>
      </c>
      <c r="D6" s="19" t="n">
        <v>10.666</v>
      </c>
      <c r="E6" s="19" t="n">
        <v>7.701</v>
      </c>
      <c r="F6" s="20" t="n">
        <v>0.2448979591836735</v>
      </c>
      <c r="G6" s="20">
        <f>1/(1+EXP(D6-Key!$B$5))</f>
        <v/>
      </c>
    </row>
    <row r="7">
      <c r="A7" s="12" t="inlineStr">
        <is>
          <t>Futures, worldwide</t>
        </is>
      </c>
      <c r="B7" s="12" t="inlineStr">
        <is>
          <t>mostly Europe and China</t>
        </is>
      </c>
      <c r="C7" s="12" t="n">
        <v>491</v>
      </c>
      <c r="D7" s="19" t="n">
        <v>9.971</v>
      </c>
      <c r="E7" s="19" t="n">
        <v>4.776</v>
      </c>
      <c r="F7" s="20" t="n">
        <v>0.3828920570264766</v>
      </c>
      <c r="G7" s="20">
        <f>1/(1+EXP(D7-Key!$B$5))</f>
        <v/>
      </c>
    </row>
    <row r="8"/>
    <row r="9">
      <c r="A9" s="9" t="inlineStr">
        <is>
          <t>The star ratings belonged to the FIVB World Tour, whose last season was 2021; the Beach Pro Tour replaced it in 2022 with Futures, Challenge and Elite16, of which Futures is roughly where the old one-star sat. There has never been a Futures in Mexico. Ratings are the American entrants in each draw, because the US entry list is the one she would have to be on. Match odds are the logistic fitted to 7,000 rated CBVA women's matches, applied to her pair rating on Key.</t>
        </is>
      </c>
    </row>
    <row r="10"/>
    <row r="11"/>
    <row r="12"/>
  </sheetData>
  <mergeCells count="1">
    <mergeCell ref="A9:E12"/>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2026-10-20T19:56:30Z</dcterms:created>
  <dcterms:modified xsi:type="dcterms:W3CDTF">2026-10-20T19:56:30Z</dcterms:modified>
</cp:coreProperties>
</file>